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in.K\Downloads\"/>
    </mc:Choice>
  </mc:AlternateContent>
  <xr:revisionPtr revIDLastSave="0" documentId="13_ncr:1_{DE9C3CAE-CE4D-4748-938D-AC3D615CAA3C}" xr6:coauthVersionLast="47" xr6:coauthVersionMax="47" xr10:uidLastSave="{00000000-0000-0000-0000-000000000000}"/>
  <bookViews>
    <workbookView xWindow="-110" yWindow="-110" windowWidth="19420" windowHeight="10300" xr2:uid="{E6FC4FFA-BB0E-4DA1-B833-E9C21B470A94}"/>
  </bookViews>
  <sheets>
    <sheet name="Disclos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E64" i="1"/>
  <c r="F63" i="1"/>
  <c r="E63" i="1"/>
  <c r="I51" i="1"/>
  <c r="F14" i="1"/>
  <c r="E16" i="1"/>
  <c r="G37" i="1" s="1"/>
  <c r="F16" i="1"/>
  <c r="G28" i="1" s="1"/>
  <c r="F95" i="1"/>
  <c r="E95" i="1"/>
  <c r="N53" i="1"/>
  <c r="M53" i="1"/>
  <c r="L53" i="1"/>
  <c r="K53" i="1"/>
  <c r="H53" i="1"/>
  <c r="O52" i="1"/>
  <c r="O48" i="1"/>
  <c r="O47" i="1"/>
  <c r="O46" i="1"/>
  <c r="O45" i="1"/>
  <c r="O44" i="1"/>
  <c r="N37" i="1"/>
  <c r="M37" i="1"/>
  <c r="L37" i="1"/>
  <c r="K37" i="1"/>
  <c r="O36" i="1"/>
  <c r="O35" i="1"/>
  <c r="O32" i="1"/>
  <c r="O31" i="1"/>
  <c r="O30" i="1"/>
  <c r="O29" i="1"/>
  <c r="O28" i="1"/>
  <c r="F49" i="1" l="1"/>
  <c r="G49" i="1"/>
  <c r="F33" i="1"/>
  <c r="G33" i="1"/>
  <c r="F34" i="1"/>
  <c r="G34" i="1"/>
  <c r="E33" i="1"/>
  <c r="E49" i="1"/>
  <c r="I49" i="1" s="1"/>
  <c r="E50" i="1"/>
  <c r="E34" i="1"/>
  <c r="G36" i="1"/>
  <c r="F15" i="1"/>
  <c r="F28" i="1" s="1"/>
  <c r="F50" i="1"/>
  <c r="F52" i="1"/>
  <c r="G52" i="1"/>
  <c r="E52" i="1"/>
  <c r="E36" i="1"/>
  <c r="F36" i="1"/>
  <c r="G50" i="1"/>
  <c r="E14" i="1"/>
  <c r="E37" i="1" s="1"/>
  <c r="E15" i="1"/>
  <c r="F37" i="1" s="1"/>
  <c r="F53" i="1"/>
  <c r="F44" i="1"/>
  <c r="G44" i="1"/>
  <c r="E44" i="1"/>
  <c r="G53" i="1"/>
  <c r="E28" i="1"/>
  <c r="E53" i="1"/>
  <c r="O53" i="1"/>
  <c r="O37" i="1"/>
  <c r="I33" i="1" l="1"/>
  <c r="F47" i="1"/>
  <c r="E47" i="1"/>
  <c r="F31" i="1"/>
  <c r="G46" i="1"/>
  <c r="E31" i="1"/>
  <c r="G31" i="1" s="1"/>
  <c r="I31" i="1" s="1"/>
  <c r="E46" i="1"/>
  <c r="G30" i="1"/>
  <c r="G45" i="1"/>
  <c r="E30" i="1"/>
  <c r="F30" i="1" s="1"/>
  <c r="I30" i="1" s="1"/>
  <c r="F45" i="1"/>
  <c r="E45" i="1" s="1"/>
  <c r="I45" i="1" s="1"/>
  <c r="G29" i="1"/>
  <c r="F29" i="1"/>
  <c r="I52" i="1"/>
  <c r="I34" i="1"/>
  <c r="I50" i="1"/>
  <c r="I36" i="1"/>
  <c r="I35" i="1"/>
  <c r="I28" i="1"/>
  <c r="I44" i="1"/>
  <c r="F17" i="1" s="1"/>
  <c r="F90" i="1" s="1"/>
  <c r="F80" i="1" s="1"/>
  <c r="E29" i="1" l="1"/>
  <c r="I29" i="1" s="1"/>
  <c r="G47" i="1"/>
  <c r="G48" i="1" s="1"/>
  <c r="F46" i="1"/>
  <c r="I46" i="1" s="1"/>
  <c r="F32" i="1"/>
  <c r="I47" i="1"/>
  <c r="E48" i="1"/>
  <c r="G32" i="1"/>
  <c r="F65" i="1"/>
  <c r="F18" i="1"/>
  <c r="F48" i="1" l="1"/>
  <c r="E32" i="1"/>
  <c r="F89" i="1"/>
  <c r="F79" i="1" s="1"/>
  <c r="F81" i="1" s="1"/>
  <c r="F66" i="1"/>
  <c r="F61" i="1" s="1"/>
  <c r="I48" i="1"/>
  <c r="I53" i="1" s="1"/>
  <c r="E17" i="1" s="1"/>
  <c r="F91" i="1" l="1"/>
  <c r="E18" i="1"/>
  <c r="E90" i="1"/>
  <c r="E80" i="1" s="1"/>
  <c r="E65" i="1"/>
  <c r="E89" i="1" l="1"/>
  <c r="E66" i="1"/>
  <c r="E61" i="1" s="1"/>
  <c r="E79" i="1"/>
  <c r="E81" i="1" s="1"/>
  <c r="E91" i="1"/>
  <c r="I32" i="1" l="1"/>
  <c r="I37" i="1" s="1"/>
  <c r="H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Mohit Rajput</author>
    <author>Aadish Jain</author>
  </authors>
  <commentList>
    <comment ref="C11" authorId="0" shapeId="0" xr:uid="{3A1F9BE7-25B2-49F2-91E2-5900543C3DDB}">
      <text>
        <r>
          <rPr>
            <b/>
            <sz val="9"/>
            <color indexed="81"/>
            <rFont val="Tahoma"/>
            <family val="2"/>
          </rPr>
          <t>Mohit Rajput:</t>
        </r>
        <r>
          <rPr>
            <sz val="9"/>
            <color indexed="81"/>
            <rFont val="Tahoma"/>
            <family val="2"/>
          </rPr>
          <t xml:space="preserve">
This should be a dynamic table</t>
        </r>
      </text>
    </comment>
    <comment ref="C26" authorId="0" shapeId="0" xr:uid="{3CC24E12-A382-4BE9-8EB4-5B4926AC3F78}">
      <text>
        <r>
          <rPr>
            <b/>
            <sz val="9"/>
            <color indexed="81"/>
            <rFont val="Tahoma"/>
            <family val="2"/>
          </rPr>
          <t>Mohit Rajput:</t>
        </r>
        <r>
          <rPr>
            <sz val="9"/>
            <color indexed="81"/>
            <rFont val="Tahoma"/>
            <family val="2"/>
          </rPr>
          <t xml:space="preserve">
This should be a dynamic table</t>
        </r>
      </text>
    </comment>
    <comment ref="C32" authorId="1" shapeId="0" xr:uid="{5CB44706-7F85-44D7-9E0C-A65675690D1C}">
      <text>
        <r>
          <rPr>
            <b/>
            <sz val="9"/>
            <color indexed="81"/>
            <rFont val="Tahoma"/>
            <family val="2"/>
          </rPr>
          <t>Aadish Jain:</t>
        </r>
        <r>
          <rPr>
            <sz val="9"/>
            <color indexed="81"/>
            <rFont val="Tahoma"/>
            <family val="2"/>
          </rPr>
          <t xml:space="preserve">
Should be kept as balancing figure</t>
        </r>
      </text>
    </comment>
    <comment ref="C35" authorId="1" shapeId="0" xr:uid="{B4D926CD-73F8-4B41-85C8-578820107F24}">
      <text>
        <r>
          <rPr>
            <b/>
            <sz val="9"/>
            <color indexed="81"/>
            <rFont val="Tahoma"/>
            <family val="2"/>
          </rPr>
          <t>Aadish Jain:</t>
        </r>
        <r>
          <rPr>
            <sz val="9"/>
            <color indexed="81"/>
            <rFont val="Tahoma"/>
            <family val="2"/>
          </rPr>
          <t xml:space="preserve">
Should be kept as a manual input field </t>
        </r>
      </text>
    </comment>
    <comment ref="C42" authorId="0" shapeId="0" xr:uid="{DD010C90-03D9-4CA1-A9EB-CCD9842357D2}">
      <text>
        <r>
          <rPr>
            <b/>
            <sz val="9"/>
            <color indexed="81"/>
            <rFont val="Tahoma"/>
            <family val="2"/>
          </rPr>
          <t>Mohit Rajput:</t>
        </r>
        <r>
          <rPr>
            <sz val="9"/>
            <color indexed="81"/>
            <rFont val="Tahoma"/>
            <family val="2"/>
          </rPr>
          <t xml:space="preserve">
This should be a dynamic table</t>
        </r>
      </text>
    </comment>
    <comment ref="C48" authorId="1" shapeId="0" xr:uid="{307A1780-58CB-42EF-9678-94A1C5D1CADF}">
      <text>
        <r>
          <rPr>
            <b/>
            <sz val="9"/>
            <color indexed="81"/>
            <rFont val="Tahoma"/>
            <family val="2"/>
          </rPr>
          <t>Aadish Jain:</t>
        </r>
        <r>
          <rPr>
            <sz val="9"/>
            <color indexed="81"/>
            <rFont val="Tahoma"/>
            <family val="2"/>
          </rPr>
          <t xml:space="preserve">
Should be kept as balancing figure</t>
        </r>
      </text>
    </comment>
    <comment ref="C51" authorId="1" shapeId="0" xr:uid="{C106BBBF-29EE-4891-A75E-198442892FFE}">
      <text>
        <r>
          <rPr>
            <b/>
            <sz val="9"/>
            <color indexed="81"/>
            <rFont val="Tahoma"/>
            <family val="2"/>
          </rPr>
          <t>Aadish Jain:</t>
        </r>
        <r>
          <rPr>
            <sz val="9"/>
            <color indexed="81"/>
            <rFont val="Tahoma"/>
            <family val="2"/>
          </rPr>
          <t xml:space="preserve">
Should be kept as a manual input field </t>
        </r>
      </text>
    </comment>
    <comment ref="C58" authorId="0" shapeId="0" xr:uid="{C7CAB09F-94EC-40DE-B4BB-A74FC0DCA009}">
      <text>
        <r>
          <rPr>
            <b/>
            <sz val="9"/>
            <color indexed="81"/>
            <rFont val="Tahoma"/>
            <family val="2"/>
          </rPr>
          <t>Mohit Rajput:</t>
        </r>
        <r>
          <rPr>
            <sz val="9"/>
            <color indexed="81"/>
            <rFont val="Tahoma"/>
            <family val="2"/>
          </rPr>
          <t xml:space="preserve">
This should be a dynamic table</t>
        </r>
      </text>
    </comment>
    <comment ref="C61" authorId="1" shapeId="0" xr:uid="{2CEC7C6C-E497-4E94-955B-E02334A43A62}">
      <text>
        <r>
          <rPr>
            <b/>
            <sz val="9"/>
            <color indexed="81"/>
            <rFont val="Tahoma"/>
            <family val="2"/>
          </rPr>
          <t>Aadish Jain:</t>
        </r>
        <r>
          <rPr>
            <sz val="9"/>
            <color indexed="81"/>
            <rFont val="Tahoma"/>
            <family val="2"/>
          </rPr>
          <t xml:space="preserve">
Will be kept as a balancing figure</t>
        </r>
      </text>
    </comment>
    <comment ref="C72" authorId="0" shapeId="0" xr:uid="{C85BC44E-160B-4637-BBC5-391CF727FF1E}">
      <text>
        <r>
          <rPr>
            <b/>
            <sz val="9"/>
            <color indexed="81"/>
            <rFont val="Tahoma"/>
            <family val="2"/>
          </rPr>
          <t>Mohit Rajput:</t>
        </r>
        <r>
          <rPr>
            <sz val="9"/>
            <color indexed="81"/>
            <rFont val="Tahoma"/>
            <family val="2"/>
          </rPr>
          <t xml:space="preserve">
This should be a dynamic table</t>
        </r>
      </text>
    </comment>
    <comment ref="C87" authorId="0" shapeId="0" xr:uid="{981D9B62-E92C-4E9B-BE8B-1C01DE78725D}">
      <text>
        <r>
          <rPr>
            <b/>
            <sz val="9"/>
            <color indexed="81"/>
            <rFont val="Tahoma"/>
            <family val="2"/>
          </rPr>
          <t>Mohit Rajput:</t>
        </r>
        <r>
          <rPr>
            <sz val="9"/>
            <color indexed="81"/>
            <rFont val="Tahoma"/>
            <family val="2"/>
          </rPr>
          <t xml:space="preserve">
This should be a dynamic table</t>
        </r>
      </text>
    </comment>
  </commentList>
</comments>
</file>

<file path=xl/sharedStrings.xml><?xml version="1.0" encoding="utf-8"?>
<sst xmlns="http://schemas.openxmlformats.org/spreadsheetml/2006/main" count="87" uniqueCount="50">
  <si>
    <t>Disclosures:</t>
  </si>
  <si>
    <t>A</t>
  </si>
  <si>
    <t>Gross carrying amount of loan assets measured at amortised cost allocated to stages:</t>
  </si>
  <si>
    <t>Particulars</t>
  </si>
  <si>
    <t>Gross carrying amount:</t>
  </si>
  <si>
    <t xml:space="preserve">Stage 1 </t>
  </si>
  <si>
    <t xml:space="preserve">Stage 2 </t>
  </si>
  <si>
    <t>Stage 3</t>
  </si>
  <si>
    <t>Less: Impairment Loss Allowance</t>
  </si>
  <si>
    <t>Total net carrying amount</t>
  </si>
  <si>
    <t>B</t>
  </si>
  <si>
    <t>Reconciliation of gross carrying amount of loan assets measured at amortised cost:</t>
  </si>
  <si>
    <t>Stage 1</t>
  </si>
  <si>
    <t>Stage 2</t>
  </si>
  <si>
    <t>POCI</t>
  </si>
  <si>
    <t>Total</t>
  </si>
  <si>
    <t xml:space="preserve">Gross carrying amount opening balance </t>
  </si>
  <si>
    <t xml:space="preserve">Transfers to Stage 1 </t>
  </si>
  <si>
    <t xml:space="preserve">Transfers to Stage 2 </t>
  </si>
  <si>
    <t xml:space="preserve">Transfers to Stage 3 </t>
  </si>
  <si>
    <t xml:space="preserve">New assets originated or purchased </t>
  </si>
  <si>
    <t>Gross carrying amount closing balance</t>
  </si>
  <si>
    <t>C</t>
  </si>
  <si>
    <t>Reconciliation of ECL balance of loan assets measured at amortised cost:</t>
  </si>
  <si>
    <t xml:space="preserve">ECL opening balance </t>
  </si>
  <si>
    <t>ECL closing balance</t>
  </si>
  <si>
    <t>D</t>
  </si>
  <si>
    <t>Credit exposure by collateral held and other credit enhancements:</t>
  </si>
  <si>
    <t>Concentration by collateral type:</t>
  </si>
  <si>
    <t>(i) Secured by tangible assets</t>
  </si>
  <si>
    <t>(ii) Secured by intangible assets</t>
  </si>
  <si>
    <t xml:space="preserve">(iii) Covered by guarantees </t>
  </si>
  <si>
    <t>(iv) Unsecured</t>
  </si>
  <si>
    <t>E</t>
  </si>
  <si>
    <t>Credit exposure by industry sector:</t>
  </si>
  <si>
    <t>Concentration by Industry:</t>
  </si>
  <si>
    <t>Agriculture and allied activities</t>
  </si>
  <si>
    <t>Manufacturing Industry</t>
  </si>
  <si>
    <t>Services</t>
  </si>
  <si>
    <t>Other personal loans</t>
  </si>
  <si>
    <t>Others</t>
  </si>
  <si>
    <t>F</t>
  </si>
  <si>
    <t>Credit exposure by geographies:</t>
  </si>
  <si>
    <t>Concentration by geographies:</t>
  </si>
  <si>
    <t>Loans in India</t>
  </si>
  <si>
    <t>Loans outside India</t>
  </si>
  <si>
    <t>Net change in exposure</t>
  </si>
  <si>
    <t xml:space="preserve">Assets derecognised (excluding write offs) </t>
  </si>
  <si>
    <t xml:space="preserve">Repaid of Loans </t>
  </si>
  <si>
    <t>WriteOff (net of recovery)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</si>
</sst>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  <numFmt numFmtId="167" formatCode="_-* #,##0_-;\-* #,##0_-;_-* &quot;-&quot;??_-;_-@_-"/>
    <numFmt numFmtId="168" formatCode="_ * #,##0_ ;_ * \-#,##0_ ;_ * &quot;-&quot;??_ ;_ @_ "/>
    <numFmt numFmtId="169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0" fillId="0" borderId="4" xfId="0" applyBorder="1"/>
    <xf numFmtId="0" fontId="3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4" fillId="2" borderId="6" xfId="0" applyFont="1" applyFill="1" applyBorder="1" applyAlignment="1">
      <alignment horizontal="center"/>
    </xf>
    <xf numFmtId="15" fontId="4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3" fillId="0" borderId="7" xfId="0" applyFont="1" applyBorder="1"/>
    <xf numFmtId="0" fontId="5" fillId="0" borderId="7" xfId="0" applyFont="1" applyBorder="1"/>
    <xf numFmtId="165" fontId="3" fillId="0" borderId="7" xfId="0" applyNumberFormat="1" applyFont="1" applyBorder="1"/>
    <xf numFmtId="0" fontId="6" fillId="0" borderId="7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165" fontId="5" fillId="0" borderId="8" xfId="0" applyNumberFormat="1" applyFont="1" applyBorder="1"/>
    <xf numFmtId="0" fontId="0" fillId="0" borderId="9" xfId="0" applyBorder="1"/>
    <xf numFmtId="0" fontId="3" fillId="0" borderId="9" xfId="0" applyFont="1" applyBorder="1"/>
    <xf numFmtId="0" fontId="5" fillId="0" borderId="0" xfId="0" applyFont="1"/>
    <xf numFmtId="0" fontId="0" fillId="2" borderId="13" xfId="0" applyFill="1" applyBorder="1"/>
    <xf numFmtId="0" fontId="4" fillId="2" borderId="9" xfId="0" applyFont="1" applyFill="1" applyBorder="1" applyAlignment="1">
      <alignment horizontal="center"/>
    </xf>
    <xf numFmtId="167" fontId="4" fillId="2" borderId="9" xfId="2" applyNumberFormat="1" applyFont="1" applyFill="1" applyBorder="1" applyAlignment="1">
      <alignment horizontal="center"/>
    </xf>
    <xf numFmtId="167" fontId="4" fillId="2" borderId="7" xfId="2" applyNumberFormat="1" applyFont="1" applyFill="1" applyBorder="1" applyAlignment="1">
      <alignment horizontal="center"/>
    </xf>
    <xf numFmtId="0" fontId="5" fillId="0" borderId="13" xfId="0" applyFont="1" applyBorder="1"/>
    <xf numFmtId="165" fontId="3" fillId="0" borderId="13" xfId="1" applyFont="1" applyBorder="1"/>
    <xf numFmtId="165" fontId="3" fillId="0" borderId="1" xfId="1" applyFont="1" applyBorder="1"/>
    <xf numFmtId="165" fontId="3" fillId="0" borderId="7" xfId="1" applyFont="1" applyBorder="1"/>
    <xf numFmtId="165" fontId="3" fillId="0" borderId="7" xfId="1" applyFont="1" applyFill="1" applyBorder="1"/>
    <xf numFmtId="165" fontId="3" fillId="0" borderId="4" xfId="1" applyFont="1" applyFill="1" applyBorder="1"/>
    <xf numFmtId="165" fontId="3" fillId="0" borderId="9" xfId="1" applyFont="1" applyBorder="1"/>
    <xf numFmtId="0" fontId="5" fillId="0" borderId="9" xfId="0" applyFont="1" applyBorder="1"/>
    <xf numFmtId="165" fontId="7" fillId="0" borderId="14" xfId="1" applyFont="1" applyBorder="1" applyAlignment="1">
      <alignment horizontal="left" vertical="top"/>
    </xf>
    <xf numFmtId="165" fontId="7" fillId="0" borderId="15" xfId="1" applyFont="1" applyBorder="1" applyAlignment="1">
      <alignment horizontal="left" vertical="top"/>
    </xf>
    <xf numFmtId="168" fontId="5" fillId="0" borderId="0" xfId="2" applyNumberFormat="1" applyFont="1" applyBorder="1"/>
    <xf numFmtId="169" fontId="5" fillId="0" borderId="0" xfId="2" applyNumberFormat="1" applyFont="1" applyBorder="1"/>
    <xf numFmtId="169" fontId="3" fillId="0" borderId="0" xfId="0" applyNumberFormat="1" applyFont="1"/>
    <xf numFmtId="164" fontId="3" fillId="0" borderId="0" xfId="0" applyNumberFormat="1" applyFont="1"/>
    <xf numFmtId="165" fontId="3" fillId="0" borderId="4" xfId="1" applyFont="1" applyBorder="1"/>
    <xf numFmtId="165" fontId="3" fillId="0" borderId="9" xfId="1" applyFont="1" applyFill="1" applyBorder="1"/>
    <xf numFmtId="165" fontId="3" fillId="0" borderId="16" xfId="1" applyFont="1" applyBorder="1"/>
    <xf numFmtId="0" fontId="7" fillId="0" borderId="0" xfId="0" applyFont="1"/>
    <xf numFmtId="0" fontId="7" fillId="0" borderId="0" xfId="0" applyFont="1" applyAlignment="1">
      <alignment vertical="top" wrapText="1"/>
    </xf>
    <xf numFmtId="0" fontId="7" fillId="0" borderId="17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165" fontId="6" fillId="0" borderId="7" xfId="1" applyFont="1" applyBorder="1"/>
    <xf numFmtId="165" fontId="7" fillId="0" borderId="8" xfId="1" applyFont="1" applyBorder="1"/>
    <xf numFmtId="0" fontId="6" fillId="0" borderId="9" xfId="0" applyFont="1" applyBorder="1" applyAlignment="1">
      <alignment vertical="top"/>
    </xf>
    <xf numFmtId="165" fontId="6" fillId="0" borderId="9" xfId="1" applyFont="1" applyBorder="1"/>
    <xf numFmtId="165" fontId="6" fillId="0" borderId="0" xfId="1" applyFont="1" applyBorder="1"/>
    <xf numFmtId="165" fontId="7" fillId="0" borderId="7" xfId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" borderId="4" xfId="0" applyFill="1" applyBorder="1"/>
    <xf numFmtId="0" fontId="3" fillId="3" borderId="7" xfId="0" applyFont="1" applyFill="1" applyBorder="1"/>
    <xf numFmtId="0" fontId="5" fillId="3" borderId="0" xfId="0" applyFont="1" applyFill="1"/>
    <xf numFmtId="165" fontId="3" fillId="3" borderId="7" xfId="1" applyFont="1" applyFill="1" applyBorder="1"/>
    <xf numFmtId="0" fontId="3" fillId="3" borderId="0" xfId="0" applyFont="1" applyFill="1"/>
    <xf numFmtId="165" fontId="3" fillId="3" borderId="4" xfId="1" applyFont="1" applyFill="1" applyBorder="1"/>
    <xf numFmtId="0" fontId="0" fillId="3" borderId="5" xfId="0" applyFill="1" applyBorder="1"/>
    <xf numFmtId="0" fontId="0" fillId="3" borderId="0" xfId="0" applyFill="1"/>
    <xf numFmtId="166" fontId="0" fillId="0" borderId="0" xfId="0" applyNumberFormat="1"/>
    <xf numFmtId="0" fontId="6" fillId="3" borderId="7" xfId="0" applyFont="1" applyFill="1" applyBorder="1" applyAlignment="1">
      <alignment vertical="top"/>
    </xf>
    <xf numFmtId="0" fontId="6" fillId="3" borderId="0" xfId="0" applyFont="1" applyFill="1" applyAlignment="1">
      <alignment vertical="top"/>
    </xf>
    <xf numFmtId="165" fontId="6" fillId="3" borderId="7" xfId="1" applyFont="1" applyFill="1" applyBorder="1"/>
    <xf numFmtId="15" fontId="4" fillId="2" borderId="10" xfId="0" applyNumberFormat="1" applyFont="1" applyFill="1" applyBorder="1" applyAlignment="1">
      <alignment horizontal="center"/>
    </xf>
    <xf numFmtId="15" fontId="4" fillId="2" borderId="11" xfId="0" applyNumberFormat="1" applyFont="1" applyFill="1" applyBorder="1" applyAlignment="1">
      <alignment horizontal="center"/>
    </xf>
    <xf numFmtId="15" fontId="4" fillId="2" borderId="12" xfId="0" applyNumberFormat="1" applyFont="1" applyFill="1" applyBorder="1" applyAlignment="1">
      <alignment horizontal="center"/>
    </xf>
  </cellXfs>
  <cellStyles count="3">
    <cellStyle name="Comma" xfId="1" builtinId="3"/>
    <cellStyle name="Comma 3" xfId="2" xr:uid="{9DAADF50-5F9B-4D9E-A988-694FBE4E93A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883920</xdr:colOff>
      <xdr:row>6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8F8AB6A-C965-4E93-B4B4-F1B612AE2D39}"/>
            </a:ext>
          </a:extLst>
        </xdr:cNvPr>
        <xdr:cNvSpPr/>
      </xdr:nvSpPr>
      <xdr:spPr>
        <a:xfrm>
          <a:off x="1219200" y="914400"/>
          <a:ext cx="883920" cy="297180"/>
        </a:xfrm>
        <a:prstGeom prst="roundRect">
          <a:avLst/>
        </a:prstGeom>
        <a:solidFill>
          <a:srgbClr val="7030A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/>
            <a:t>Download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4205-B4B2-444D-AB5D-219FF51E6774}">
  <dimension ref="B3:P99"/>
  <sheetViews>
    <sheetView showGridLines="0" tabSelected="1" zoomScale="56" workbookViewId="0">
      <selection activeCell="I37" sqref="I37"/>
    </sheetView>
  </sheetViews>
  <sheetFormatPr defaultRowHeight="14.5" x14ac:dyDescent="0.35"/>
  <cols>
    <col min="2" max="2" width="15.1796875" bestFit="1" customWidth="1"/>
    <col min="3" max="3" width="98.81640625" bestFit="1" customWidth="1"/>
    <col min="4" max="4" width="2.54296875" customWidth="1"/>
    <col min="5" max="5" width="26.08984375" bestFit="1" customWidth="1"/>
    <col min="6" max="6" width="23.90625" bestFit="1" customWidth="1"/>
    <col min="7" max="7" width="22.81640625" bestFit="1" customWidth="1"/>
    <col min="8" max="8" width="7.1796875" bestFit="1" customWidth="1"/>
    <col min="9" max="9" width="25.08984375" bestFit="1" customWidth="1"/>
    <col min="10" max="10" width="1.90625" customWidth="1"/>
    <col min="11" max="11" width="9.90625" bestFit="1" customWidth="1"/>
    <col min="12" max="13" width="10.1796875" bestFit="1" customWidth="1"/>
    <col min="14" max="14" width="7.1796875" bestFit="1" customWidth="1"/>
    <col min="15" max="15" width="9.6328125" bestFit="1" customWidth="1"/>
  </cols>
  <sheetData>
    <row r="3" spans="2:16" x14ac:dyDescent="0.3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2:16" x14ac:dyDescent="0.35">
      <c r="B4" s="4" t="s">
        <v>0</v>
      </c>
      <c r="P4" s="5"/>
    </row>
    <row r="5" spans="2:16" x14ac:dyDescent="0.35">
      <c r="B5" s="4"/>
      <c r="P5" s="5"/>
    </row>
    <row r="6" spans="2:16" x14ac:dyDescent="0.35">
      <c r="B6" s="4"/>
      <c r="P6" s="5"/>
    </row>
    <row r="7" spans="2:16" x14ac:dyDescent="0.35">
      <c r="B7" s="6"/>
      <c r="E7" s="7"/>
      <c r="F7" s="7"/>
      <c r="G7" s="7"/>
      <c r="H7" s="7"/>
      <c r="I7" s="7"/>
      <c r="J7" s="7"/>
      <c r="P7" s="5"/>
    </row>
    <row r="8" spans="2:16" x14ac:dyDescent="0.35">
      <c r="B8" s="6"/>
      <c r="E8" s="7"/>
      <c r="F8" s="7"/>
      <c r="G8" s="7"/>
      <c r="H8" s="7"/>
      <c r="I8" s="7"/>
      <c r="J8" s="7"/>
      <c r="P8" s="5"/>
    </row>
    <row r="9" spans="2:16" x14ac:dyDescent="0.35">
      <c r="B9" s="8" t="s">
        <v>1</v>
      </c>
      <c r="C9" s="9" t="s">
        <v>2</v>
      </c>
      <c r="E9" s="7"/>
      <c r="F9" s="7"/>
      <c r="G9" s="7"/>
      <c r="H9" s="7"/>
      <c r="I9" s="7"/>
      <c r="J9" s="7"/>
      <c r="P9" s="5"/>
    </row>
    <row r="10" spans="2:16" x14ac:dyDescent="0.35">
      <c r="B10" s="6"/>
      <c r="E10" s="7"/>
      <c r="F10" s="7"/>
      <c r="G10" s="7"/>
      <c r="H10" s="7"/>
      <c r="I10" s="7"/>
      <c r="J10" s="7"/>
      <c r="P10" s="5"/>
    </row>
    <row r="11" spans="2:16" x14ac:dyDescent="0.35">
      <c r="B11" s="6"/>
      <c r="C11" s="10" t="s">
        <v>3</v>
      </c>
      <c r="E11" s="11">
        <v>45747</v>
      </c>
      <c r="F11" s="11">
        <v>45382</v>
      </c>
      <c r="G11" s="7"/>
      <c r="H11" s="7"/>
      <c r="I11" s="7"/>
      <c r="J11" s="7"/>
      <c r="P11" s="5"/>
    </row>
    <row r="12" spans="2:16" x14ac:dyDescent="0.35">
      <c r="B12" s="6"/>
      <c r="C12" s="12"/>
      <c r="E12" s="13"/>
      <c r="F12" s="13"/>
      <c r="G12" s="7"/>
      <c r="H12" s="7"/>
      <c r="I12" s="7"/>
      <c r="J12" s="7"/>
      <c r="P12" s="5"/>
    </row>
    <row r="13" spans="2:16" x14ac:dyDescent="0.35">
      <c r="B13" s="6"/>
      <c r="C13" s="14" t="s">
        <v>4</v>
      </c>
      <c r="E13" s="13"/>
      <c r="F13" s="13"/>
      <c r="G13" s="7"/>
      <c r="H13" s="7"/>
      <c r="I13" s="7"/>
      <c r="J13" s="7"/>
      <c r="P13" s="5"/>
    </row>
    <row r="14" spans="2:16" x14ac:dyDescent="0.35">
      <c r="B14" s="6"/>
      <c r="C14" s="13" t="s">
        <v>5</v>
      </c>
      <c r="E14" s="15" t="e">
        <f>SUMIFS(#REF!,#REF!,"Stage 1")</f>
        <v>#REF!</v>
      </c>
      <c r="F14" s="15" t="e">
        <f>SUMIFS(#REF!,#REF!,"Stage 1")</f>
        <v>#REF!</v>
      </c>
      <c r="G14" s="7"/>
      <c r="H14" s="7"/>
      <c r="I14" s="7"/>
      <c r="J14" s="7"/>
      <c r="P14" s="5"/>
    </row>
    <row r="15" spans="2:16" x14ac:dyDescent="0.35">
      <c r="B15" s="6"/>
      <c r="C15" s="13" t="s">
        <v>6</v>
      </c>
      <c r="E15" s="15" t="e">
        <f>SUMIFS(#REF!,#REF!,"Stage 2")</f>
        <v>#REF!</v>
      </c>
      <c r="F15" s="15" t="e">
        <f>SUMIFS(#REF!,#REF!,"Stage 2")</f>
        <v>#REF!</v>
      </c>
      <c r="G15" s="7"/>
      <c r="H15" s="7"/>
      <c r="I15" s="7"/>
      <c r="J15" s="7"/>
      <c r="P15" s="5"/>
    </row>
    <row r="16" spans="2:16" x14ac:dyDescent="0.35">
      <c r="B16" s="6"/>
      <c r="C16" s="13" t="s">
        <v>7</v>
      </c>
      <c r="E16" s="15" t="e">
        <f>SUMIFS(#REF!,#REF!,"Stage 3")</f>
        <v>#REF!</v>
      </c>
      <c r="F16" s="15" t="e">
        <f>SUMIFS(#REF!,#REF!,"Stage 3")</f>
        <v>#REF!</v>
      </c>
      <c r="G16" s="7"/>
      <c r="H16" s="7"/>
      <c r="I16" s="7"/>
      <c r="J16" s="7"/>
      <c r="P16" s="5"/>
    </row>
    <row r="17" spans="2:16" x14ac:dyDescent="0.35">
      <c r="B17" s="6"/>
      <c r="C17" s="16" t="s">
        <v>8</v>
      </c>
      <c r="E17" s="15" t="e">
        <f>-I53</f>
        <v>#REF!</v>
      </c>
      <c r="F17" s="15" t="e">
        <f>-I44</f>
        <v>#REF!</v>
      </c>
      <c r="G17" s="7"/>
      <c r="H17" s="7"/>
      <c r="I17" s="7"/>
      <c r="J17" s="7"/>
      <c r="P17" s="5"/>
    </row>
    <row r="18" spans="2:16" ht="15" thickBot="1" x14ac:dyDescent="0.4">
      <c r="B18" s="6"/>
      <c r="C18" s="17" t="s">
        <v>9</v>
      </c>
      <c r="E18" s="18" t="e">
        <f>SUM(E14:E17)</f>
        <v>#REF!</v>
      </c>
      <c r="F18" s="18" t="e">
        <f>SUM(F14:F17)</f>
        <v>#REF!</v>
      </c>
      <c r="G18" s="7"/>
      <c r="H18" s="7"/>
      <c r="I18" s="7"/>
      <c r="J18" s="7"/>
      <c r="P18" s="5"/>
    </row>
    <row r="19" spans="2:16" ht="15" thickTop="1" x14ac:dyDescent="0.35">
      <c r="B19" s="6"/>
      <c r="C19" s="19"/>
      <c r="E19" s="20"/>
      <c r="F19" s="20"/>
      <c r="G19" s="7"/>
      <c r="H19" s="7"/>
      <c r="I19" s="7"/>
      <c r="J19" s="7"/>
      <c r="P19" s="5"/>
    </row>
    <row r="20" spans="2:16" x14ac:dyDescent="0.35">
      <c r="B20" s="6"/>
      <c r="E20" s="7"/>
      <c r="F20" s="7"/>
      <c r="G20" s="7"/>
      <c r="H20" s="7"/>
      <c r="I20" s="7"/>
      <c r="J20" s="7"/>
      <c r="P20" s="5"/>
    </row>
    <row r="21" spans="2:16" x14ac:dyDescent="0.35">
      <c r="B21" s="6"/>
      <c r="E21" s="7"/>
      <c r="F21" s="7"/>
      <c r="G21" s="7"/>
      <c r="H21" s="7"/>
      <c r="I21" s="7"/>
      <c r="J21" s="7"/>
      <c r="P21" s="5"/>
    </row>
    <row r="22" spans="2:16" x14ac:dyDescent="0.35">
      <c r="B22" s="6"/>
      <c r="E22" s="7"/>
      <c r="F22" s="7"/>
      <c r="G22" s="7"/>
      <c r="H22" s="7"/>
      <c r="I22" s="7"/>
      <c r="J22" s="7"/>
      <c r="P22" s="5"/>
    </row>
    <row r="23" spans="2:16" x14ac:dyDescent="0.35">
      <c r="B23" s="6"/>
      <c r="E23" s="7"/>
      <c r="F23" s="7"/>
      <c r="G23" s="7"/>
      <c r="H23" s="7"/>
      <c r="I23" s="7"/>
      <c r="J23" s="7"/>
      <c r="P23" s="5"/>
    </row>
    <row r="24" spans="2:16" x14ac:dyDescent="0.35">
      <c r="B24" s="8" t="s">
        <v>10</v>
      </c>
      <c r="C24" s="21" t="s">
        <v>11</v>
      </c>
      <c r="D24" s="21"/>
      <c r="E24" s="7"/>
      <c r="F24" s="7"/>
      <c r="G24" s="7"/>
      <c r="H24" s="7"/>
      <c r="I24" s="7"/>
      <c r="J24" s="7"/>
      <c r="P24" s="5"/>
    </row>
    <row r="25" spans="2:16" x14ac:dyDescent="0.35">
      <c r="B25" s="8"/>
      <c r="C25" s="21"/>
      <c r="D25" s="21"/>
      <c r="E25" s="7"/>
      <c r="F25" s="7"/>
      <c r="G25" s="7"/>
      <c r="H25" s="7"/>
      <c r="I25" s="7"/>
      <c r="J25" s="7"/>
      <c r="P25" s="5"/>
    </row>
    <row r="26" spans="2:16" x14ac:dyDescent="0.35">
      <c r="B26" s="6"/>
      <c r="C26" s="10" t="s">
        <v>3</v>
      </c>
      <c r="D26" s="21"/>
      <c r="E26" s="68">
        <v>45747</v>
      </c>
      <c r="F26" s="69"/>
      <c r="G26" s="69"/>
      <c r="H26" s="69"/>
      <c r="I26" s="70"/>
      <c r="J26" s="7"/>
      <c r="K26" s="68">
        <v>45382</v>
      </c>
      <c r="L26" s="69"/>
      <c r="M26" s="69"/>
      <c r="N26" s="69"/>
      <c r="O26" s="70"/>
      <c r="P26" s="5"/>
    </row>
    <row r="27" spans="2:16" x14ac:dyDescent="0.35">
      <c r="B27" s="6"/>
      <c r="C27" s="22"/>
      <c r="D27" s="21"/>
      <c r="E27" s="23" t="s">
        <v>12</v>
      </c>
      <c r="F27" s="23" t="s">
        <v>13</v>
      </c>
      <c r="G27" s="23" t="s">
        <v>7</v>
      </c>
      <c r="H27" s="23" t="s">
        <v>14</v>
      </c>
      <c r="I27" s="24" t="s">
        <v>15</v>
      </c>
      <c r="J27" s="7"/>
      <c r="K27" s="23" t="s">
        <v>12</v>
      </c>
      <c r="L27" s="23" t="s">
        <v>13</v>
      </c>
      <c r="M27" s="23" t="s">
        <v>7</v>
      </c>
      <c r="N27" s="23" t="s">
        <v>14</v>
      </c>
      <c r="O27" s="25" t="s">
        <v>15</v>
      </c>
      <c r="P27" s="5"/>
    </row>
    <row r="28" spans="2:16" x14ac:dyDescent="0.35">
      <c r="B28" s="6"/>
      <c r="C28" s="26" t="s">
        <v>16</v>
      </c>
      <c r="D28" s="21"/>
      <c r="E28" s="27" t="e">
        <f>F14</f>
        <v>#REF!</v>
      </c>
      <c r="F28" s="27" t="e">
        <f>F15</f>
        <v>#REF!</v>
      </c>
      <c r="G28" s="27" t="e">
        <f>F16</f>
        <v>#REF!</v>
      </c>
      <c r="H28" s="27">
        <v>0</v>
      </c>
      <c r="I28" s="27" t="e">
        <f>SUM(E28:H28)</f>
        <v>#REF!</v>
      </c>
      <c r="J28" s="7"/>
      <c r="K28" s="27"/>
      <c r="L28" s="27"/>
      <c r="M28" s="27"/>
      <c r="N28" s="28"/>
      <c r="O28" s="27">
        <f>SUM(K28:N28)</f>
        <v>0</v>
      </c>
      <c r="P28" s="5"/>
    </row>
    <row r="29" spans="2:16" x14ac:dyDescent="0.35">
      <c r="B29" s="6"/>
      <c r="C29" s="13" t="s">
        <v>17</v>
      </c>
      <c r="D29" s="21"/>
      <c r="E29" s="29" t="e">
        <f>-SUM(F29:G29)</f>
        <v>#REF!</v>
      </c>
      <c r="F29" s="29" t="e">
        <f>-(SUMIFS(#REF!,#REF!,"Stage 2",#REF!,"Stage 1"))</f>
        <v>#REF!</v>
      </c>
      <c r="G29" s="29" t="e">
        <f>-SUMIFS(#REF!,#REF!,"Stage 3",#REF!,"Stage 1")</f>
        <v>#REF!</v>
      </c>
      <c r="H29" s="29">
        <v>0</v>
      </c>
      <c r="I29" s="29" t="e">
        <f>SUM(E29:H29)</f>
        <v>#REF!</v>
      </c>
      <c r="J29" s="7"/>
      <c r="K29" s="30"/>
      <c r="L29" s="30"/>
      <c r="M29" s="30"/>
      <c r="N29" s="31"/>
      <c r="O29" s="29">
        <f t="shared" ref="O29:O36" si="0">SUM(K29:N29)</f>
        <v>0</v>
      </c>
      <c r="P29" s="5"/>
    </row>
    <row r="30" spans="2:16" x14ac:dyDescent="0.35">
      <c r="B30" s="6"/>
      <c r="C30" s="13" t="s">
        <v>18</v>
      </c>
      <c r="D30" s="21"/>
      <c r="E30" s="29" t="e">
        <f>-(SUMIFS(#REF!,#REF!,"Stage 1",#REF!,"Stage 2"))</f>
        <v>#REF!</v>
      </c>
      <c r="F30" s="29" t="e">
        <f>-SUM(E30,G30)</f>
        <v>#REF!</v>
      </c>
      <c r="G30" s="29" t="e">
        <f>-SUMIFS(#REF!,#REF!,"Stage 3",#REF!,"Stage 2")</f>
        <v>#REF!</v>
      </c>
      <c r="H30" s="29">
        <v>0</v>
      </c>
      <c r="I30" s="29" t="e">
        <f t="shared" ref="I30:I31" si="1">SUM(E30:H30)</f>
        <v>#REF!</v>
      </c>
      <c r="J30" s="7"/>
      <c r="K30" s="30"/>
      <c r="L30" s="30"/>
      <c r="M30" s="30"/>
      <c r="N30" s="31"/>
      <c r="O30" s="29">
        <f t="shared" si="0"/>
        <v>0</v>
      </c>
      <c r="P30" s="5"/>
    </row>
    <row r="31" spans="2:16" x14ac:dyDescent="0.35">
      <c r="B31" s="6"/>
      <c r="C31" s="13" t="s">
        <v>19</v>
      </c>
      <c r="D31" s="21"/>
      <c r="E31" s="29" t="e">
        <f>-(SUMIFS(#REF!,#REF!,"Stage 1",#REF!,"Stage 3"))</f>
        <v>#REF!</v>
      </c>
      <c r="F31" s="29" t="e">
        <f>-(SUMIFS(#REF!,#REF!,"Stage 2",#REF!,"Stage 3"))</f>
        <v>#REF!</v>
      </c>
      <c r="G31" s="29" t="e">
        <f>-SUM(E31:F31)</f>
        <v>#REF!</v>
      </c>
      <c r="H31" s="29">
        <v>0</v>
      </c>
      <c r="I31" s="29" t="e">
        <f t="shared" si="1"/>
        <v>#REF!</v>
      </c>
      <c r="J31" s="7"/>
      <c r="K31" s="30"/>
      <c r="L31" s="30"/>
      <c r="M31" s="30"/>
      <c r="N31" s="31"/>
      <c r="O31" s="29">
        <f t="shared" si="0"/>
        <v>0</v>
      </c>
      <c r="P31" s="5"/>
    </row>
    <row r="32" spans="2:16" s="63" customFormat="1" x14ac:dyDescent="0.35">
      <c r="B32" s="56"/>
      <c r="C32" s="57" t="s">
        <v>46</v>
      </c>
      <c r="D32" s="58"/>
      <c r="E32" s="59" t="e">
        <f>E37-E28-E29-E30-E31-E33-E34-E35-E36</f>
        <v>#REF!</v>
      </c>
      <c r="F32" s="59" t="e">
        <f t="shared" ref="F32:G32" si="2">F37-F28-F29-F30-F31-F33-F34-F35-F36</f>
        <v>#REF!</v>
      </c>
      <c r="G32" s="59" t="e">
        <f t="shared" si="2"/>
        <v>#REF!</v>
      </c>
      <c r="H32" s="59">
        <v>0</v>
      </c>
      <c r="I32" s="59" t="e">
        <f>SUM(E32:H32)</f>
        <v>#REF!</v>
      </c>
      <c r="J32" s="60"/>
      <c r="K32" s="59"/>
      <c r="L32" s="59"/>
      <c r="M32" s="59"/>
      <c r="N32" s="61"/>
      <c r="O32" s="59">
        <f t="shared" si="0"/>
        <v>0</v>
      </c>
      <c r="P32" s="62"/>
    </row>
    <row r="33" spans="2:16" x14ac:dyDescent="0.35">
      <c r="B33" s="6"/>
      <c r="C33" s="13" t="s">
        <v>47</v>
      </c>
      <c r="D33" s="21"/>
      <c r="E33" s="30" t="e">
        <f>-SUMIFS(#REF!,#REF!,"Derecognised",#REF!,"Stage 1")-E35</f>
        <v>#REF!</v>
      </c>
      <c r="F33" s="30" t="e">
        <f>-SUMIFS(#REF!,#REF!,"Derecognised",#REF!,"Stage 2")-F35</f>
        <v>#REF!</v>
      </c>
      <c r="G33" s="30" t="e">
        <f>-SUMIFS(#REF!,#REF!,"Derecognised",#REF!,"Stage 3")-G35</f>
        <v>#REF!</v>
      </c>
      <c r="H33" s="30">
        <v>0</v>
      </c>
      <c r="I33" s="30" t="e">
        <f>SUM(E33:H33)</f>
        <v>#REF!</v>
      </c>
      <c r="J33" s="7"/>
      <c r="K33" s="30"/>
      <c r="L33" s="30"/>
      <c r="M33" s="30"/>
      <c r="N33" s="31"/>
      <c r="O33" s="30"/>
      <c r="P33" s="5"/>
    </row>
    <row r="34" spans="2:16" x14ac:dyDescent="0.35">
      <c r="B34" s="6"/>
      <c r="C34" s="13" t="s">
        <v>48</v>
      </c>
      <c r="D34" s="21"/>
      <c r="E34" s="30" t="e">
        <f>SUMIFS(#REF!,#REF!,"Stage 1",#REF!,"&lt;"&amp;0)</f>
        <v>#REF!</v>
      </c>
      <c r="F34" s="30" t="e">
        <f>SUMIFS(#REF!,#REF!,"Stage 2",#REF!,"&lt;"&amp;0)</f>
        <v>#REF!</v>
      </c>
      <c r="G34" s="30" t="e">
        <f>SUMIFS(#REF!,#REF!,"Stage 3",#REF!,"&lt;"&amp;0)</f>
        <v>#REF!</v>
      </c>
      <c r="H34" s="30">
        <v>0</v>
      </c>
      <c r="I34" s="30" t="e">
        <f>SUM(E34:H34)</f>
        <v>#REF!</v>
      </c>
      <c r="J34" s="7"/>
      <c r="K34" s="30"/>
      <c r="L34" s="30"/>
      <c r="M34" s="30"/>
      <c r="N34" s="31"/>
      <c r="O34" s="30"/>
      <c r="P34" s="5"/>
    </row>
    <row r="35" spans="2:16" s="63" customFormat="1" x14ac:dyDescent="0.35">
      <c r="B35" s="56"/>
      <c r="C35" s="57" t="s">
        <v>49</v>
      </c>
      <c r="D35" s="58"/>
      <c r="E35" s="59"/>
      <c r="F35" s="59"/>
      <c r="G35" s="59"/>
      <c r="H35" s="59">
        <v>0</v>
      </c>
      <c r="I35" s="59">
        <f>SUM(E35:H35)</f>
        <v>0</v>
      </c>
      <c r="J35" s="60"/>
      <c r="K35" s="59"/>
      <c r="L35" s="59"/>
      <c r="M35" s="59"/>
      <c r="N35" s="61"/>
      <c r="O35" s="59">
        <f t="shared" si="0"/>
        <v>0</v>
      </c>
      <c r="P35" s="62"/>
    </row>
    <row r="36" spans="2:16" x14ac:dyDescent="0.35">
      <c r="B36" s="6"/>
      <c r="C36" s="13" t="s">
        <v>20</v>
      </c>
      <c r="D36" s="21"/>
      <c r="E36" s="29" t="e">
        <f>SUMIFS(#REF!,#REF!,"New",#REF!,"Stage 1")+SUMIFS(#REF!,#REF!,"Stage 1",#REF!,"&gt;"&amp;0)</f>
        <v>#REF!</v>
      </c>
      <c r="F36" s="29" t="e">
        <f>SUMIFS(#REF!,#REF!,"New",#REF!,"Stage 2")+SUMIFS(#REF!,#REF!,"Stage 2",#REF!,"&gt;"&amp;0)</f>
        <v>#REF!</v>
      </c>
      <c r="G36" s="29" t="e">
        <f>SUMIFS(#REF!,#REF!,"New",#REF!,"Stage 3")+SUMIFS(#REF!,#REF!,"Stage 3",#REF!,"&gt;"&amp;0)</f>
        <v>#REF!</v>
      </c>
      <c r="H36" s="29">
        <v>0</v>
      </c>
      <c r="I36" s="29" t="e">
        <f>SUM(E36:H36)</f>
        <v>#REF!</v>
      </c>
      <c r="J36" s="7"/>
      <c r="K36" s="30"/>
      <c r="L36" s="30"/>
      <c r="M36" s="30"/>
      <c r="N36" s="31"/>
      <c r="O36" s="32">
        <f t="shared" si="0"/>
        <v>0</v>
      </c>
      <c r="P36" s="5"/>
    </row>
    <row r="37" spans="2:16" ht="15" thickBot="1" x14ac:dyDescent="0.4">
      <c r="B37" s="6"/>
      <c r="C37" s="33" t="s">
        <v>21</v>
      </c>
      <c r="D37" s="21"/>
      <c r="E37" s="34" t="e">
        <f>E14</f>
        <v>#REF!</v>
      </c>
      <c r="F37" s="34" t="e">
        <f>E15</f>
        <v>#REF!</v>
      </c>
      <c r="G37" s="34" t="e">
        <f>E16</f>
        <v>#REF!</v>
      </c>
      <c r="H37" s="34">
        <f>SUM(H28:H36)</f>
        <v>0</v>
      </c>
      <c r="I37" s="34" t="e">
        <f>SUM(I28:I36)</f>
        <v>#REF!</v>
      </c>
      <c r="J37" s="7"/>
      <c r="K37" s="34">
        <f>SUM(K28:K36)</f>
        <v>0</v>
      </c>
      <c r="L37" s="34">
        <f>SUM(L28:L36)</f>
        <v>0</v>
      </c>
      <c r="M37" s="34">
        <f>SUM(M28:M36)</f>
        <v>0</v>
      </c>
      <c r="N37" s="34">
        <f>SUM(N28:N36)</f>
        <v>0</v>
      </c>
      <c r="O37" s="35">
        <f>SUM(O28:O36)</f>
        <v>0</v>
      </c>
      <c r="P37" s="5"/>
    </row>
    <row r="38" spans="2:16" ht="15" thickTop="1" x14ac:dyDescent="0.35">
      <c r="B38" s="6"/>
      <c r="C38" s="21"/>
      <c r="D38" s="21"/>
      <c r="E38" s="36"/>
      <c r="F38" s="36"/>
      <c r="G38" s="36"/>
      <c r="H38" s="36"/>
      <c r="I38" s="37"/>
      <c r="J38" s="7"/>
      <c r="P38" s="5"/>
    </row>
    <row r="39" spans="2:16" x14ac:dyDescent="0.35">
      <c r="B39" s="6"/>
      <c r="C39" s="21"/>
      <c r="D39" s="21"/>
      <c r="E39" s="38"/>
      <c r="F39" s="39"/>
      <c r="G39" s="39"/>
      <c r="H39" s="39"/>
      <c r="I39" s="39"/>
      <c r="J39" s="39"/>
      <c r="P39" s="5"/>
    </row>
    <row r="40" spans="2:16" x14ac:dyDescent="0.35">
      <c r="B40" s="8" t="s">
        <v>22</v>
      </c>
      <c r="C40" s="21" t="s">
        <v>23</v>
      </c>
      <c r="D40" s="21"/>
      <c r="E40" s="38"/>
      <c r="F40" s="7"/>
      <c r="G40" s="7"/>
      <c r="H40" s="7"/>
      <c r="I40" s="7"/>
      <c r="J40" s="7"/>
      <c r="P40" s="5"/>
    </row>
    <row r="41" spans="2:16" x14ac:dyDescent="0.35">
      <c r="B41" s="6"/>
      <c r="P41" s="5"/>
    </row>
    <row r="42" spans="2:16" x14ac:dyDescent="0.35">
      <c r="B42" s="6"/>
      <c r="C42" s="10" t="s">
        <v>3</v>
      </c>
      <c r="D42" s="21"/>
      <c r="E42" s="68">
        <v>45747</v>
      </c>
      <c r="F42" s="69"/>
      <c r="G42" s="69"/>
      <c r="H42" s="69"/>
      <c r="I42" s="70"/>
      <c r="J42" s="7"/>
      <c r="K42" s="68">
        <v>45382</v>
      </c>
      <c r="L42" s="69"/>
      <c r="M42" s="69"/>
      <c r="N42" s="69"/>
      <c r="O42" s="70"/>
      <c r="P42" s="5"/>
    </row>
    <row r="43" spans="2:16" x14ac:dyDescent="0.35">
      <c r="B43" s="6"/>
      <c r="C43" s="22"/>
      <c r="D43" s="21"/>
      <c r="E43" s="23" t="s">
        <v>12</v>
      </c>
      <c r="F43" s="23" t="s">
        <v>13</v>
      </c>
      <c r="G43" s="23" t="s">
        <v>7</v>
      </c>
      <c r="H43" s="23" t="s">
        <v>14</v>
      </c>
      <c r="I43" s="25" t="s">
        <v>15</v>
      </c>
      <c r="J43" s="7"/>
      <c r="K43" s="23" t="s">
        <v>12</v>
      </c>
      <c r="L43" s="23" t="s">
        <v>13</v>
      </c>
      <c r="M43" s="23" t="s">
        <v>7</v>
      </c>
      <c r="N43" s="23" t="s">
        <v>14</v>
      </c>
      <c r="O43" s="24" t="s">
        <v>15</v>
      </c>
      <c r="P43" s="5"/>
    </row>
    <row r="44" spans="2:16" x14ac:dyDescent="0.35">
      <c r="B44" s="6"/>
      <c r="C44" s="26" t="s">
        <v>24</v>
      </c>
      <c r="D44" s="21"/>
      <c r="E44" s="27" t="e">
        <f>SUMIFS(#REF!,#REF!,"Stage 1")</f>
        <v>#REF!</v>
      </c>
      <c r="F44" s="27" t="e">
        <f>SUMIFS(#REF!,#REF!,"Stage 2")</f>
        <v>#REF!</v>
      </c>
      <c r="G44" s="27" t="e">
        <f>SUMIFS(#REF!,#REF!,"Stage 3")</f>
        <v>#REF!</v>
      </c>
      <c r="H44" s="28">
        <v>0</v>
      </c>
      <c r="I44" s="27" t="e">
        <f>SUM(E44:H44)</f>
        <v>#REF!</v>
      </c>
      <c r="J44" s="7"/>
      <c r="K44" s="27"/>
      <c r="L44" s="27"/>
      <c r="M44" s="27"/>
      <c r="N44" s="27"/>
      <c r="O44" s="27">
        <f>SUM(K44:N44)</f>
        <v>0</v>
      </c>
      <c r="P44" s="5"/>
    </row>
    <row r="45" spans="2:16" x14ac:dyDescent="0.35">
      <c r="B45" s="6"/>
      <c r="C45" s="13" t="s">
        <v>17</v>
      </c>
      <c r="D45" s="21"/>
      <c r="E45" s="29" t="e">
        <f>-SUM(F45:G45)</f>
        <v>#REF!</v>
      </c>
      <c r="F45" s="29" t="e">
        <f>-(SUMIFS(#REF!,#REF!,"Stage 2",#REF!,"Stage 1"))</f>
        <v>#REF!</v>
      </c>
      <c r="G45" s="29" t="e">
        <f>-SUMIFS(#REF!,#REF!,"Stage 3",#REF!,"Stage 1")</f>
        <v>#REF!</v>
      </c>
      <c r="H45" s="40">
        <v>0</v>
      </c>
      <c r="I45" s="29" t="e">
        <f t="shared" ref="I45:I52" si="3">SUM(E45:H45)</f>
        <v>#REF!</v>
      </c>
      <c r="J45" s="7"/>
      <c r="K45" s="30"/>
      <c r="L45" s="30"/>
      <c r="M45" s="30"/>
      <c r="N45" s="30"/>
      <c r="O45" s="29">
        <f t="shared" ref="O45:O52" si="4">SUM(K45:N45)</f>
        <v>0</v>
      </c>
      <c r="P45" s="5"/>
    </row>
    <row r="46" spans="2:16" x14ac:dyDescent="0.35">
      <c r="B46" s="6"/>
      <c r="C46" s="13" t="s">
        <v>18</v>
      </c>
      <c r="D46" s="21"/>
      <c r="E46" s="29" t="e">
        <f>-(SUMIFS(#REF!,#REF!,"Stage 1",#REF!,"Stage 3"))</f>
        <v>#REF!</v>
      </c>
      <c r="F46" s="29" t="e">
        <f>-SUM(E46,G46)</f>
        <v>#REF!</v>
      </c>
      <c r="G46" s="29" t="e">
        <f>-SUMIFS(#REF!,#REF!,"Stage 3",#REF!,"Stage 2")</f>
        <v>#REF!</v>
      </c>
      <c r="H46" s="40">
        <v>0</v>
      </c>
      <c r="I46" s="29" t="e">
        <f t="shared" si="3"/>
        <v>#REF!</v>
      </c>
      <c r="J46" s="7"/>
      <c r="K46" s="30"/>
      <c r="L46" s="30"/>
      <c r="M46" s="30"/>
      <c r="N46" s="30"/>
      <c r="O46" s="29">
        <f t="shared" si="4"/>
        <v>0</v>
      </c>
      <c r="P46" s="5"/>
    </row>
    <row r="47" spans="2:16" x14ac:dyDescent="0.35">
      <c r="B47" s="6"/>
      <c r="C47" s="13" t="s">
        <v>19</v>
      </c>
      <c r="D47" s="21"/>
      <c r="E47" s="29" t="e">
        <f>-(SUMIFS(#REF!,#REF!,"Stage 1",#REF!,"Stage 3"))</f>
        <v>#REF!</v>
      </c>
      <c r="F47" s="29" t="e">
        <f>-(SUMIFS(#REF!,#REF!,"Stage 2",#REF!,"Stage 3"))</f>
        <v>#REF!</v>
      </c>
      <c r="G47" s="29" t="e">
        <f>-SUM(E47:F47)</f>
        <v>#REF!</v>
      </c>
      <c r="H47" s="40">
        <v>0</v>
      </c>
      <c r="I47" s="29" t="e">
        <f t="shared" si="3"/>
        <v>#REF!</v>
      </c>
      <c r="J47" s="7"/>
      <c r="K47" s="30"/>
      <c r="L47" s="30"/>
      <c r="M47" s="30"/>
      <c r="N47" s="30"/>
      <c r="O47" s="29">
        <f t="shared" si="4"/>
        <v>0</v>
      </c>
      <c r="P47" s="5"/>
    </row>
    <row r="48" spans="2:16" s="63" customFormat="1" x14ac:dyDescent="0.35">
      <c r="B48" s="56"/>
      <c r="C48" s="57" t="s">
        <v>46</v>
      </c>
      <c r="D48" s="58"/>
      <c r="E48" s="59" t="e">
        <f>E53-E44-E45-E46-E47-E49-E50-E51-E52</f>
        <v>#REF!</v>
      </c>
      <c r="F48" s="59" t="e">
        <f t="shared" ref="F48" si="5">F53-F44-F45-F46-F47-F49-F50-F51-F52</f>
        <v>#REF!</v>
      </c>
      <c r="G48" s="59" t="e">
        <f t="shared" ref="G48" si="6">G53-G44-G45-G46-G47-G49-G50-G51-G52</f>
        <v>#REF!</v>
      </c>
      <c r="H48" s="61">
        <v>0</v>
      </c>
      <c r="I48" s="59" t="e">
        <f t="shared" si="3"/>
        <v>#REF!</v>
      </c>
      <c r="J48" s="60"/>
      <c r="K48" s="59"/>
      <c r="L48" s="59"/>
      <c r="M48" s="59"/>
      <c r="N48" s="59"/>
      <c r="O48" s="59">
        <f t="shared" si="4"/>
        <v>0</v>
      </c>
      <c r="P48" s="62"/>
    </row>
    <row r="49" spans="2:16" x14ac:dyDescent="0.35">
      <c r="B49" s="6"/>
      <c r="C49" s="13" t="s">
        <v>47</v>
      </c>
      <c r="D49" s="21"/>
      <c r="E49" s="30" t="e">
        <f>-SUMIFS(#REF!,#REF!,"Derecognised",#REF!,"Stage 1")-E51</f>
        <v>#REF!</v>
      </c>
      <c r="F49" s="30" t="e">
        <f>-SUMIFS(#REF!,#REF!,"Derecognised",#REF!,"Stage 2")-F51</f>
        <v>#REF!</v>
      </c>
      <c r="G49" s="30" t="e">
        <f>-SUMIFS(#REF!,#REF!,"Derecognised",#REF!,"Stage 3")-G51</f>
        <v>#REF!</v>
      </c>
      <c r="H49" s="31">
        <v>0</v>
      </c>
      <c r="I49" s="30" t="e">
        <f t="shared" si="3"/>
        <v>#REF!</v>
      </c>
      <c r="J49" s="7"/>
      <c r="K49" s="30"/>
      <c r="L49" s="30"/>
      <c r="M49" s="30"/>
      <c r="N49" s="30"/>
      <c r="O49" s="30"/>
      <c r="P49" s="5"/>
    </row>
    <row r="50" spans="2:16" x14ac:dyDescent="0.35">
      <c r="B50" s="6"/>
      <c r="C50" s="13" t="s">
        <v>48</v>
      </c>
      <c r="D50" s="21"/>
      <c r="E50" s="30" t="e">
        <f>SUMIFS(#REF!,#REF!,"Stage 1",#REF!,"&lt;"&amp;0)</f>
        <v>#REF!</v>
      </c>
      <c r="F50" s="30" t="e">
        <f>-SUMIFS(#REF!,#REF!,"Stage 2",#REF!,"&lt;"&amp;0)</f>
        <v>#REF!</v>
      </c>
      <c r="G50" s="30" t="e">
        <f>-SUMIFS(#REF!,#REF!,"Stage 3",#REF!,"&lt;"&amp;0)</f>
        <v>#REF!</v>
      </c>
      <c r="H50" s="31">
        <v>0</v>
      </c>
      <c r="I50" s="30" t="e">
        <f t="shared" si="3"/>
        <v>#REF!</v>
      </c>
      <c r="J50" s="7"/>
      <c r="K50" s="30"/>
      <c r="L50" s="30"/>
      <c r="M50" s="30"/>
      <c r="N50" s="30"/>
      <c r="O50" s="30"/>
      <c r="P50" s="5"/>
    </row>
    <row r="51" spans="2:16" s="63" customFormat="1" x14ac:dyDescent="0.35">
      <c r="B51" s="56"/>
      <c r="C51" s="57" t="s">
        <v>49</v>
      </c>
      <c r="D51" s="58"/>
      <c r="E51" s="59"/>
      <c r="F51" s="59"/>
      <c r="G51" s="59"/>
      <c r="H51" s="61">
        <v>0</v>
      </c>
      <c r="I51" s="59">
        <f t="shared" si="3"/>
        <v>0</v>
      </c>
      <c r="J51" s="60"/>
      <c r="K51" s="59"/>
      <c r="L51" s="59"/>
      <c r="M51" s="59"/>
      <c r="N51" s="59"/>
      <c r="O51" s="59"/>
      <c r="P51" s="62"/>
    </row>
    <row r="52" spans="2:16" x14ac:dyDescent="0.35">
      <c r="B52" s="6"/>
      <c r="C52" s="13" t="s">
        <v>20</v>
      </c>
      <c r="D52" s="21"/>
      <c r="E52" s="41" t="e">
        <f>SUMIFS(#REF!,#REF!,"New",#REF!,"Stage 1")+SUMIFS(#REF!,#REF!,"Stage 1",#REF!,"&gt;"&amp;0)</f>
        <v>#REF!</v>
      </c>
      <c r="F52" s="41" t="e">
        <f>SUMIFS(#REF!,#REF!,"New",#REF!,"Stage 2")+SUMIFS(#REF!,#REF!,"Stage 2",#REF!,"&gt;"&amp;0)</f>
        <v>#REF!</v>
      </c>
      <c r="G52" s="41" t="e">
        <f>SUMIFS(#REF!,#REF!,"New",#REF!,"Stage 3")+SUMIFS(#REF!,#REF!,"Stage 3",#REF!,"&gt;"&amp;0)</f>
        <v>#REF!</v>
      </c>
      <c r="H52" s="42">
        <v>0</v>
      </c>
      <c r="I52" s="32" t="e">
        <f t="shared" si="3"/>
        <v>#REF!</v>
      </c>
      <c r="J52" s="7"/>
      <c r="K52" s="41"/>
      <c r="L52" s="41"/>
      <c r="M52" s="41"/>
      <c r="N52" s="41"/>
      <c r="O52" s="32">
        <f t="shared" si="4"/>
        <v>0</v>
      </c>
      <c r="P52" s="5"/>
    </row>
    <row r="53" spans="2:16" ht="15" thickBot="1" x14ac:dyDescent="0.4">
      <c r="B53" s="6"/>
      <c r="C53" s="33" t="s">
        <v>25</v>
      </c>
      <c r="D53" s="21"/>
      <c r="E53" s="34" t="e">
        <f>SUMIFS(#REF!,#REF!,"Stage 1")</f>
        <v>#REF!</v>
      </c>
      <c r="F53" s="34" t="e">
        <f>SUMIFS(#REF!,#REF!,"Stage 2")</f>
        <v>#REF!</v>
      </c>
      <c r="G53" s="34" t="e">
        <f>SUMIFS(#REF!,#REF!,"Stage 3")</f>
        <v>#REF!</v>
      </c>
      <c r="H53" s="34">
        <f>SUM(H44:H52)</f>
        <v>0</v>
      </c>
      <c r="I53" s="34" t="e">
        <f>SUM(I44:I52)</f>
        <v>#REF!</v>
      </c>
      <c r="J53" s="7"/>
      <c r="K53" s="34">
        <f>SUM(K44:K52)</f>
        <v>0</v>
      </c>
      <c r="L53" s="34">
        <f>SUM(L44:L52)</f>
        <v>0</v>
      </c>
      <c r="M53" s="34">
        <f>SUM(M44:M52)</f>
        <v>0</v>
      </c>
      <c r="N53" s="34">
        <f>SUM(N44:N52)</f>
        <v>0</v>
      </c>
      <c r="O53" s="34">
        <f>SUM(O44:O52)</f>
        <v>0</v>
      </c>
      <c r="P53" s="5"/>
    </row>
    <row r="54" spans="2:16" ht="15" thickTop="1" x14ac:dyDescent="0.35">
      <c r="B54" s="6"/>
      <c r="P54" s="5"/>
    </row>
    <row r="55" spans="2:16" x14ac:dyDescent="0.35">
      <c r="B55" s="6"/>
      <c r="E55" s="64"/>
      <c r="F55" s="64"/>
      <c r="G55" s="64"/>
      <c r="P55" s="5"/>
    </row>
    <row r="56" spans="2:16" x14ac:dyDescent="0.35">
      <c r="B56" s="8" t="s">
        <v>26</v>
      </c>
      <c r="C56" s="43" t="s">
        <v>27</v>
      </c>
      <c r="D56" s="43"/>
      <c r="E56" s="43"/>
      <c r="F56" s="39"/>
      <c r="G56" s="7"/>
      <c r="H56" s="7"/>
      <c r="I56" s="7"/>
      <c r="J56" s="7"/>
      <c r="P56" s="5"/>
    </row>
    <row r="57" spans="2:16" x14ac:dyDescent="0.35">
      <c r="B57" s="6"/>
      <c r="C57" s="44"/>
      <c r="D57" s="44"/>
      <c r="F57" s="45"/>
      <c r="P57" s="5"/>
    </row>
    <row r="58" spans="2:16" x14ac:dyDescent="0.35">
      <c r="B58" s="6"/>
      <c r="C58" s="10" t="s">
        <v>3</v>
      </c>
      <c r="D58" s="44"/>
      <c r="E58" s="11">
        <v>45747</v>
      </c>
      <c r="F58" s="11">
        <v>45382</v>
      </c>
      <c r="P58" s="5"/>
    </row>
    <row r="59" spans="2:16" x14ac:dyDescent="0.35">
      <c r="B59" s="6"/>
      <c r="C59" s="16"/>
      <c r="D59" s="46"/>
      <c r="E59" s="47"/>
      <c r="F59" s="47"/>
      <c r="P59" s="5"/>
    </row>
    <row r="60" spans="2:16" x14ac:dyDescent="0.35">
      <c r="B60" s="6"/>
      <c r="C60" s="17" t="s">
        <v>28</v>
      </c>
      <c r="D60" s="46"/>
      <c r="E60" s="47"/>
      <c r="F60" s="47"/>
      <c r="P60" s="5"/>
    </row>
    <row r="61" spans="2:16" s="63" customFormat="1" x14ac:dyDescent="0.35">
      <c r="B61" s="56"/>
      <c r="C61" s="65" t="s">
        <v>29</v>
      </c>
      <c r="D61" s="66"/>
      <c r="E61" s="67" t="e">
        <f>E66-SUM(E62:E65)</f>
        <v>#REF!</v>
      </c>
      <c r="F61" s="67" t="e">
        <f>F66-SUM(F62:F65)</f>
        <v>#REF!</v>
      </c>
      <c r="P61" s="62"/>
    </row>
    <row r="62" spans="2:16" x14ac:dyDescent="0.35">
      <c r="B62" s="6"/>
      <c r="C62" s="16" t="s">
        <v>30</v>
      </c>
      <c r="D62" s="46"/>
      <c r="E62" s="47">
        <v>0</v>
      </c>
      <c r="F62" s="47">
        <v>0</v>
      </c>
      <c r="P62" s="5"/>
    </row>
    <row r="63" spans="2:16" x14ac:dyDescent="0.35">
      <c r="B63" s="6"/>
      <c r="C63" s="16" t="s">
        <v>31</v>
      </c>
      <c r="D63" s="46"/>
      <c r="E63" s="47" t="e">
        <f>SUMIFS(#REF!,#REF!,"=GECL")</f>
        <v>#REF!</v>
      </c>
      <c r="F63" s="47" t="e">
        <f>SUMIFS(#REF!,#REF!,"=GECL")</f>
        <v>#REF!</v>
      </c>
      <c r="P63" s="5"/>
    </row>
    <row r="64" spans="2:16" x14ac:dyDescent="0.35">
      <c r="B64" s="6"/>
      <c r="C64" s="16" t="s">
        <v>32</v>
      </c>
      <c r="D64" s="46"/>
      <c r="E64" s="47" t="e">
        <f>SUMIFS(#REF!,#REF!,"=BL - Pre COVID")+SUMIFS(#REF!,#REF!,"=BL - Post COVID")+SUMIFS(#REF!,#REF!,"PL")</f>
        <v>#REF!</v>
      </c>
      <c r="F64" s="47" t="e">
        <f>SUMIFS(#REF!,#REF!,"=BL - Pre COVID")+SUMIFS(#REF!,#REF!,"=BL - Post COVID")+SUMIFS(#REF!,#REF!,"PL")</f>
        <v>#REF!</v>
      </c>
      <c r="P64" s="5"/>
    </row>
    <row r="65" spans="2:16" x14ac:dyDescent="0.35">
      <c r="B65" s="6"/>
      <c r="C65" s="16" t="s">
        <v>8</v>
      </c>
      <c r="D65" s="46"/>
      <c r="E65" s="47" t="e">
        <f>E17</f>
        <v>#REF!</v>
      </c>
      <c r="F65" s="47" t="e">
        <f>F17</f>
        <v>#REF!</v>
      </c>
      <c r="P65" s="5"/>
    </row>
    <row r="66" spans="2:16" ht="15" thickBot="1" x14ac:dyDescent="0.4">
      <c r="B66" s="6"/>
      <c r="C66" s="17" t="s">
        <v>9</v>
      </c>
      <c r="D66" s="46"/>
      <c r="E66" s="48" t="e">
        <f>E18</f>
        <v>#REF!</v>
      </c>
      <c r="F66" s="48" t="e">
        <f>F18</f>
        <v>#REF!</v>
      </c>
      <c r="P66" s="5"/>
    </row>
    <row r="67" spans="2:16" ht="15" thickTop="1" x14ac:dyDescent="0.35">
      <c r="B67" s="6"/>
      <c r="C67" s="49"/>
      <c r="D67" s="46"/>
      <c r="E67" s="50"/>
      <c r="F67" s="50"/>
      <c r="P67" s="5"/>
    </row>
    <row r="68" spans="2:16" x14ac:dyDescent="0.35">
      <c r="B68" s="6"/>
      <c r="C68" s="46"/>
      <c r="D68" s="46"/>
      <c r="E68" s="51"/>
      <c r="F68" s="51"/>
      <c r="P68" s="5"/>
    </row>
    <row r="69" spans="2:16" x14ac:dyDescent="0.35">
      <c r="B69" s="6"/>
      <c r="C69" s="46"/>
      <c r="D69" s="46"/>
      <c r="E69" s="51"/>
      <c r="F69" s="51"/>
      <c r="P69" s="5"/>
    </row>
    <row r="70" spans="2:16" x14ac:dyDescent="0.35">
      <c r="B70" s="8" t="s">
        <v>33</v>
      </c>
      <c r="C70" s="43" t="s">
        <v>34</v>
      </c>
      <c r="P70" s="5"/>
    </row>
    <row r="71" spans="2:16" x14ac:dyDescent="0.35">
      <c r="B71" s="6"/>
      <c r="P71" s="5"/>
    </row>
    <row r="72" spans="2:16" x14ac:dyDescent="0.35">
      <c r="B72" s="6"/>
      <c r="C72" s="10" t="s">
        <v>3</v>
      </c>
      <c r="D72" s="44"/>
      <c r="E72" s="11">
        <v>45747</v>
      </c>
      <c r="F72" s="11">
        <v>45382</v>
      </c>
      <c r="P72" s="5"/>
    </row>
    <row r="73" spans="2:16" x14ac:dyDescent="0.35">
      <c r="B73" s="6"/>
      <c r="C73" s="16"/>
      <c r="D73" s="44"/>
      <c r="E73" s="52"/>
      <c r="F73" s="52"/>
      <c r="P73" s="5"/>
    </row>
    <row r="74" spans="2:16" x14ac:dyDescent="0.35">
      <c r="B74" s="6"/>
      <c r="C74" s="17" t="s">
        <v>35</v>
      </c>
      <c r="D74" s="46"/>
      <c r="E74" s="47"/>
      <c r="F74" s="47"/>
      <c r="P74" s="5"/>
    </row>
    <row r="75" spans="2:16" x14ac:dyDescent="0.35">
      <c r="B75" s="6"/>
      <c r="C75" s="16" t="s">
        <v>36</v>
      </c>
      <c r="D75" s="46"/>
      <c r="E75" s="47">
        <v>0</v>
      </c>
      <c r="F75" s="47">
        <v>0</v>
      </c>
      <c r="P75" s="5"/>
    </row>
    <row r="76" spans="2:16" x14ac:dyDescent="0.35">
      <c r="B76" s="6"/>
      <c r="C76" s="16" t="s">
        <v>37</v>
      </c>
      <c r="D76" s="46"/>
      <c r="E76" s="47">
        <v>0</v>
      </c>
      <c r="F76" s="47">
        <v>0</v>
      </c>
      <c r="P76" s="5"/>
    </row>
    <row r="77" spans="2:16" x14ac:dyDescent="0.35">
      <c r="B77" s="6"/>
      <c r="C77" s="16" t="s">
        <v>38</v>
      </c>
      <c r="D77" s="46"/>
      <c r="E77" s="47">
        <v>0</v>
      </c>
      <c r="F77" s="47">
        <v>0</v>
      </c>
      <c r="P77" s="5"/>
    </row>
    <row r="78" spans="2:16" x14ac:dyDescent="0.35">
      <c r="B78" s="6"/>
      <c r="C78" s="16" t="s">
        <v>39</v>
      </c>
      <c r="D78" s="46"/>
      <c r="E78" s="47">
        <v>0</v>
      </c>
      <c r="F78" s="47">
        <v>0</v>
      </c>
      <c r="P78" s="5"/>
    </row>
    <row r="79" spans="2:16" x14ac:dyDescent="0.35">
      <c r="B79" s="6"/>
      <c r="C79" s="16" t="s">
        <v>40</v>
      </c>
      <c r="D79" s="46"/>
      <c r="E79" s="47" t="e">
        <f>E89</f>
        <v>#REF!</v>
      </c>
      <c r="F79" s="47" t="e">
        <f>F89</f>
        <v>#REF!</v>
      </c>
      <c r="P79" s="5"/>
    </row>
    <row r="80" spans="2:16" x14ac:dyDescent="0.35">
      <c r="B80" s="6"/>
      <c r="C80" s="16" t="s">
        <v>8</v>
      </c>
      <c r="D80" s="46"/>
      <c r="E80" s="47" t="e">
        <f>E90</f>
        <v>#REF!</v>
      </c>
      <c r="F80" s="47" t="e">
        <f>F90</f>
        <v>#REF!</v>
      </c>
      <c r="P80" s="5"/>
    </row>
    <row r="81" spans="2:16" ht="15" thickBot="1" x14ac:dyDescent="0.4">
      <c r="B81" s="6"/>
      <c r="C81" s="17" t="s">
        <v>9</v>
      </c>
      <c r="D81" s="46"/>
      <c r="E81" s="48" t="e">
        <f>SUM(E78:E80)</f>
        <v>#REF!</v>
      </c>
      <c r="F81" s="48" t="e">
        <f>SUM(F78:F80)</f>
        <v>#REF!</v>
      </c>
      <c r="P81" s="5"/>
    </row>
    <row r="82" spans="2:16" ht="15" thickTop="1" x14ac:dyDescent="0.35">
      <c r="B82" s="6"/>
      <c r="C82" s="49"/>
      <c r="D82" s="46"/>
      <c r="E82" s="50"/>
      <c r="F82" s="50"/>
      <c r="P82" s="5"/>
    </row>
    <row r="83" spans="2:16" x14ac:dyDescent="0.35">
      <c r="B83" s="6"/>
      <c r="P83" s="5"/>
    </row>
    <row r="84" spans="2:16" x14ac:dyDescent="0.35">
      <c r="B84" s="6"/>
      <c r="P84" s="5"/>
    </row>
    <row r="85" spans="2:16" x14ac:dyDescent="0.35">
      <c r="B85" s="8" t="s">
        <v>41</v>
      </c>
      <c r="C85" s="43" t="s">
        <v>42</v>
      </c>
      <c r="P85" s="5"/>
    </row>
    <row r="86" spans="2:16" x14ac:dyDescent="0.35">
      <c r="B86" s="6"/>
      <c r="P86" s="5"/>
    </row>
    <row r="87" spans="2:16" x14ac:dyDescent="0.35">
      <c r="B87" s="6"/>
      <c r="C87" s="10" t="s">
        <v>3</v>
      </c>
      <c r="D87" s="44"/>
      <c r="E87" s="11">
        <v>45747</v>
      </c>
      <c r="F87" s="11">
        <v>45382</v>
      </c>
      <c r="P87" s="5"/>
    </row>
    <row r="88" spans="2:16" x14ac:dyDescent="0.35">
      <c r="B88" s="6"/>
      <c r="C88" s="17" t="s">
        <v>43</v>
      </c>
      <c r="D88" s="46"/>
      <c r="E88" s="47"/>
      <c r="F88" s="47"/>
      <c r="P88" s="5"/>
    </row>
    <row r="89" spans="2:16" x14ac:dyDescent="0.35">
      <c r="B89" s="6"/>
      <c r="C89" s="16" t="s">
        <v>44</v>
      </c>
      <c r="D89" s="46"/>
      <c r="E89" s="47" t="e">
        <f>E18-E17</f>
        <v>#REF!</v>
      </c>
      <c r="F89" s="47" t="e">
        <f>F18-F17</f>
        <v>#REF!</v>
      </c>
      <c r="P89" s="5"/>
    </row>
    <row r="90" spans="2:16" x14ac:dyDescent="0.35">
      <c r="B90" s="6"/>
      <c r="C90" s="16" t="s">
        <v>8</v>
      </c>
      <c r="D90" s="46"/>
      <c r="E90" s="47" t="e">
        <f>E17</f>
        <v>#REF!</v>
      </c>
      <c r="F90" s="47" t="e">
        <f>F17</f>
        <v>#REF!</v>
      </c>
      <c r="P90" s="5"/>
    </row>
    <row r="91" spans="2:16" ht="15" thickBot="1" x14ac:dyDescent="0.4">
      <c r="B91" s="6"/>
      <c r="C91" s="17" t="s">
        <v>9</v>
      </c>
      <c r="D91" s="46"/>
      <c r="E91" s="48" t="e">
        <f>SUM(E89:E90)</f>
        <v>#REF!</v>
      </c>
      <c r="F91" s="48" t="e">
        <f>SUM(F89:F90)</f>
        <v>#REF!</v>
      </c>
      <c r="P91" s="5"/>
    </row>
    <row r="92" spans="2:16" ht="15" thickTop="1" x14ac:dyDescent="0.35">
      <c r="B92" s="6"/>
      <c r="C92" s="16"/>
      <c r="D92" s="46"/>
      <c r="E92" s="52"/>
      <c r="F92" s="52"/>
      <c r="P92" s="5"/>
    </row>
    <row r="93" spans="2:16" x14ac:dyDescent="0.35">
      <c r="B93" s="6"/>
      <c r="C93" s="16" t="s">
        <v>45</v>
      </c>
      <c r="D93" s="46"/>
      <c r="E93" s="52">
        <v>0</v>
      </c>
      <c r="F93" s="52">
        <v>0</v>
      </c>
      <c r="P93" s="5"/>
    </row>
    <row r="94" spans="2:16" x14ac:dyDescent="0.35">
      <c r="B94" s="6"/>
      <c r="C94" s="16" t="s">
        <v>8</v>
      </c>
      <c r="D94" s="46"/>
      <c r="E94" s="52">
        <v>0</v>
      </c>
      <c r="F94" s="52">
        <v>0</v>
      </c>
      <c r="P94" s="5"/>
    </row>
    <row r="95" spans="2:16" ht="15" thickBot="1" x14ac:dyDescent="0.4">
      <c r="B95" s="6"/>
      <c r="C95" s="17" t="s">
        <v>9</v>
      </c>
      <c r="D95" s="46"/>
      <c r="E95" s="48">
        <f>SUM(E93:E94)</f>
        <v>0</v>
      </c>
      <c r="F95" s="48">
        <f>SUM(F93:F94)</f>
        <v>0</v>
      </c>
      <c r="P95" s="5"/>
    </row>
    <row r="96" spans="2:16" ht="15" thickTop="1" x14ac:dyDescent="0.35">
      <c r="B96" s="6"/>
      <c r="C96" s="49"/>
      <c r="D96" s="46"/>
      <c r="E96" s="50"/>
      <c r="F96" s="50"/>
      <c r="P96" s="5"/>
    </row>
    <row r="97" spans="2:16" x14ac:dyDescent="0.35">
      <c r="B97" s="6"/>
      <c r="P97" s="5"/>
    </row>
    <row r="98" spans="2:16" x14ac:dyDescent="0.35">
      <c r="B98" s="6"/>
      <c r="P98" s="5"/>
    </row>
    <row r="99" spans="2:16" x14ac:dyDescent="0.35">
      <c r="B99" s="53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5"/>
    </row>
  </sheetData>
  <mergeCells count="4">
    <mergeCell ref="E26:I26"/>
    <mergeCell ref="K26:O26"/>
    <mergeCell ref="E42:I42"/>
    <mergeCell ref="K42:O4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Disclosures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Rajput</dc:creator>
  <cp:lastModifiedBy>Aswin K</cp:lastModifiedBy>
  <dcterms:created xsi:type="dcterms:W3CDTF">2026-01-28T08:51:58Z</dcterms:created>
  <dcterms:modified xsi:type="dcterms:W3CDTF">2026-05-21T05:28:09Z</dcterms:modified>
</cp:coreProperties>
</file>