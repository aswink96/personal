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win.K\Downloads\"/>
    </mc:Choice>
  </mc:AlternateContent>
  <xr:revisionPtr revIDLastSave="0" documentId="8_{B3890741-A562-4137-8970-7274D88A8128}" xr6:coauthVersionLast="47" xr6:coauthVersionMax="47" xr10:uidLastSave="{00000000-0000-0000-0000-000000000000}"/>
  <bookViews>
    <workbookView xWindow="-110" yWindow="-110" windowWidth="19420" windowHeight="10300" xr2:uid="{538FD6F2-6318-4F4E-9038-FE102A227825}"/>
  </bookViews>
  <sheets>
    <sheet name="16-03-2026"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1" i="2" l="1"/>
  <c r="R41" i="2"/>
  <c r="Q41" i="2"/>
  <c r="P41" i="2"/>
  <c r="O41" i="2"/>
  <c r="M41" i="2"/>
  <c r="L41" i="2"/>
  <c r="K41" i="2"/>
  <c r="J41" i="2"/>
  <c r="I41" i="2"/>
  <c r="H41" i="2"/>
  <c r="E41" i="2"/>
  <c r="U41" i="2" s="1"/>
  <c r="U40" i="2"/>
  <c r="T37" i="2"/>
  <c r="T12" i="2" s="1"/>
  <c r="S37" i="2"/>
  <c r="N37" i="2"/>
  <c r="N12" i="2" s="1"/>
  <c r="M37" i="2"/>
  <c r="K37" i="2"/>
  <c r="J37" i="2"/>
  <c r="I37" i="2"/>
  <c r="G37" i="2"/>
  <c r="E37" i="2"/>
  <c r="L35" i="2"/>
  <c r="L37" i="2" s="1"/>
  <c r="L12" i="2" s="1"/>
  <c r="Q34" i="2"/>
  <c r="N34" i="2"/>
  <c r="M34" i="2"/>
  <c r="L34" i="2"/>
  <c r="M9" i="2" s="1"/>
  <c r="K34" i="2"/>
  <c r="J34" i="2"/>
  <c r="I34" i="2"/>
  <c r="H34" i="2"/>
  <c r="G34" i="2"/>
  <c r="F34" i="2"/>
  <c r="E34" i="2"/>
  <c r="U29" i="2"/>
  <c r="Q28" i="2"/>
  <c r="Q6" i="2" s="1"/>
  <c r="P28" i="2"/>
  <c r="O28" i="2"/>
  <c r="L28" i="2"/>
  <c r="I28" i="2"/>
  <c r="H28" i="2"/>
  <c r="E28" i="2"/>
  <c r="E6" i="2" s="1"/>
  <c r="T25" i="2"/>
  <c r="T28" i="2" s="1"/>
  <c r="T6" i="2" s="1"/>
  <c r="S25" i="2"/>
  <c r="S28" i="2" s="1"/>
  <c r="S6" i="2" s="1"/>
  <c r="R25" i="2"/>
  <c r="R28" i="2" s="1"/>
  <c r="R6" i="2" s="1"/>
  <c r="Q25" i="2"/>
  <c r="P25" i="2"/>
  <c r="O25" i="2"/>
  <c r="N25" i="2"/>
  <c r="N28" i="2" s="1"/>
  <c r="N6" i="2" s="1"/>
  <c r="M25" i="2"/>
  <c r="M28" i="2" s="1"/>
  <c r="M6" i="2" s="1"/>
  <c r="L25" i="2"/>
  <c r="K25" i="2"/>
  <c r="K28" i="2" s="1"/>
  <c r="K6" i="2" s="1"/>
  <c r="J25" i="2"/>
  <c r="H25" i="2"/>
  <c r="E25" i="2"/>
  <c r="T24" i="2"/>
  <c r="S24" i="2"/>
  <c r="R24" i="2"/>
  <c r="Q24" i="2"/>
  <c r="P24" i="2"/>
  <c r="O24" i="2"/>
  <c r="N24" i="2"/>
  <c r="M24" i="2"/>
  <c r="L24" i="2"/>
  <c r="K24" i="2"/>
  <c r="J24" i="2"/>
  <c r="I24" i="2"/>
  <c r="H24" i="2"/>
  <c r="G24" i="2"/>
  <c r="G28" i="2" s="1"/>
  <c r="G6" i="2" s="1"/>
  <c r="E24" i="2"/>
  <c r="O23" i="2"/>
  <c r="O5" i="2" s="1"/>
  <c r="O13" i="2" s="1"/>
  <c r="G23" i="2"/>
  <c r="F23" i="2"/>
  <c r="F5" i="2" s="1"/>
  <c r="F13" i="2" s="1"/>
  <c r="T22" i="2"/>
  <c r="S22" i="2"/>
  <c r="R22" i="2"/>
  <c r="Q22" i="2"/>
  <c r="P22" i="2"/>
  <c r="N22" i="2"/>
  <c r="M22" i="2"/>
  <c r="M8" i="2" s="1"/>
  <c r="K22" i="2"/>
  <c r="J22" i="2"/>
  <c r="I22" i="2"/>
  <c r="H22" i="2"/>
  <c r="H8" i="2" s="1"/>
  <c r="E22" i="2"/>
  <c r="T21" i="2"/>
  <c r="S21" i="2"/>
  <c r="R21" i="2"/>
  <c r="Q21" i="2"/>
  <c r="P21" i="2"/>
  <c r="O21" i="2"/>
  <c r="O7" i="2" s="1"/>
  <c r="N21" i="2"/>
  <c r="M21" i="2"/>
  <c r="L21" i="2"/>
  <c r="K21" i="2"/>
  <c r="J21" i="2"/>
  <c r="J7" i="2" s="1"/>
  <c r="I21" i="2"/>
  <c r="H21" i="2"/>
  <c r="E21" i="2"/>
  <c r="T20" i="2"/>
  <c r="T23" i="2" s="1"/>
  <c r="T5" i="2" s="1"/>
  <c r="T13" i="2" s="1"/>
  <c r="S20" i="2"/>
  <c r="S23" i="2" s="1"/>
  <c r="S5" i="2" s="1"/>
  <c r="S13" i="2" s="1"/>
  <c r="R20" i="2"/>
  <c r="R23" i="2" s="1"/>
  <c r="R5" i="2" s="1"/>
  <c r="R13" i="2" s="1"/>
  <c r="Q20" i="2"/>
  <c r="Q23" i="2" s="1"/>
  <c r="Q5" i="2" s="1"/>
  <c r="P20" i="2"/>
  <c r="P8" i="2" s="1"/>
  <c r="O20" i="2"/>
  <c r="N20" i="2"/>
  <c r="M20" i="2"/>
  <c r="L20" i="2"/>
  <c r="L23" i="2" s="1"/>
  <c r="L5" i="2" s="1"/>
  <c r="K20" i="2"/>
  <c r="J20" i="2"/>
  <c r="I20" i="2"/>
  <c r="I23" i="2" s="1"/>
  <c r="I5" i="2" s="1"/>
  <c r="H20" i="2"/>
  <c r="H23" i="2" s="1"/>
  <c r="H5" i="2" s="1"/>
  <c r="H13" i="2" s="1"/>
  <c r="E20" i="2"/>
  <c r="E8" i="2" s="1"/>
  <c r="T19" i="2"/>
  <c r="S19" i="2"/>
  <c r="S7" i="2" s="1"/>
  <c r="R19" i="2"/>
  <c r="Q19" i="2"/>
  <c r="P19" i="2"/>
  <c r="O19" i="2"/>
  <c r="N19" i="2"/>
  <c r="N23" i="2" s="1"/>
  <c r="N5" i="2" s="1"/>
  <c r="M19" i="2"/>
  <c r="L19" i="2"/>
  <c r="K19" i="2"/>
  <c r="K23" i="2" s="1"/>
  <c r="K5" i="2" s="1"/>
  <c r="J19" i="2"/>
  <c r="I19" i="2"/>
  <c r="I7" i="2" s="1"/>
  <c r="H19" i="2"/>
  <c r="E19" i="2"/>
  <c r="T18" i="2"/>
  <c r="S18" i="2"/>
  <c r="R18" i="2"/>
  <c r="Q18" i="2"/>
  <c r="P18" i="2"/>
  <c r="O18" i="2"/>
  <c r="N18" i="2"/>
  <c r="M18" i="2"/>
  <c r="M23" i="2" s="1"/>
  <c r="M5" i="2" s="1"/>
  <c r="M13" i="2" s="1"/>
  <c r="L18" i="2"/>
  <c r="K18" i="2"/>
  <c r="J18" i="2"/>
  <c r="I18" i="2"/>
  <c r="H18" i="2"/>
  <c r="E18" i="2"/>
  <c r="T17" i="2"/>
  <c r="S17" i="2"/>
  <c r="R17" i="2"/>
  <c r="Q17" i="2"/>
  <c r="P17" i="2"/>
  <c r="O17" i="2"/>
  <c r="N17" i="2"/>
  <c r="M17" i="2"/>
  <c r="L17" i="2"/>
  <c r="K17" i="2"/>
  <c r="J17" i="2"/>
  <c r="I17" i="2"/>
  <c r="H17" i="2"/>
  <c r="E17" i="2"/>
  <c r="S12" i="2"/>
  <c r="M12" i="2"/>
  <c r="K12" i="2"/>
  <c r="J12" i="2"/>
  <c r="T10" i="2"/>
  <c r="S10" i="2"/>
  <c r="R10" i="2"/>
  <c r="Q10" i="2"/>
  <c r="P10" i="2"/>
  <c r="O10" i="2"/>
  <c r="N10" i="2"/>
  <c r="M10" i="2"/>
  <c r="L10" i="2"/>
  <c r="K10" i="2"/>
  <c r="J10" i="2"/>
  <c r="I10" i="2"/>
  <c r="H10" i="2"/>
  <c r="G10" i="2"/>
  <c r="F10" i="2"/>
  <c r="E10" i="2"/>
  <c r="T9" i="2"/>
  <c r="S9" i="2"/>
  <c r="N9" i="2"/>
  <c r="L9" i="2"/>
  <c r="K9" i="2"/>
  <c r="J9" i="2"/>
  <c r="I9" i="2"/>
  <c r="H9" i="2"/>
  <c r="G9" i="2"/>
  <c r="E9" i="2"/>
  <c r="T8" i="2"/>
  <c r="S8" i="2"/>
  <c r="R8" i="2"/>
  <c r="Q8" i="2"/>
  <c r="O8" i="2"/>
  <c r="N8" i="2"/>
  <c r="K8" i="2"/>
  <c r="J8" i="2"/>
  <c r="G8" i="2"/>
  <c r="T7" i="2"/>
  <c r="R7" i="2"/>
  <c r="Q7" i="2"/>
  <c r="P7" i="2"/>
  <c r="M7" i="2"/>
  <c r="L7" i="2"/>
  <c r="H7" i="2"/>
  <c r="G7" i="2"/>
  <c r="E7" i="2"/>
  <c r="P6" i="2"/>
  <c r="O6" i="2"/>
  <c r="L6" i="2"/>
  <c r="J6" i="2"/>
  <c r="I6" i="2"/>
  <c r="H6" i="2"/>
  <c r="G5" i="2"/>
  <c r="G13" i="2" s="1"/>
  <c r="L13" i="2" l="1"/>
  <c r="N13" i="2"/>
  <c r="Q13" i="2"/>
  <c r="K13" i="2"/>
  <c r="I13" i="2"/>
  <c r="K7" i="2"/>
  <c r="P23" i="2"/>
  <c r="P5" i="2" s="1"/>
  <c r="P13" i="2" s="1"/>
  <c r="I8" i="2"/>
  <c r="E23" i="2"/>
  <c r="E5" i="2" s="1"/>
  <c r="E13" i="2" s="1"/>
  <c r="N7" i="2"/>
  <c r="L8" i="2"/>
  <c r="J23" i="2"/>
  <c r="J5" i="2" s="1"/>
  <c r="J1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tc={D6C61E0B-DEF6-4342-A61A-F9CCEC93FE61}</author>
    <author>tc={30EB194D-D8A9-4894-8264-DE967D58CA6C}</author>
  </authors>
  <commentList>
    <comment ref="F7" authorId="0" shapeId="0" xr:uid="{D6C61E0B-DEF6-4342-A61A-F9CCEC93FE61}">
      <text>
        <t xml:space="preserve">[Threaded comment]
Your version of Excel allows you to read this threaded comment; however, any edits to it will get removed if the file is opened in a newer version of Excel. Learn more: https://go.microsoft.com/fwlink/?linkid=870924
Comment:
    (2142+22)/3457*100=62.3% WHICH IS FURTHER DIVIDED BY 2= 31.2
</t>
      </text>
    </comment>
    <comment ref="K7" authorId="1" shapeId="0" xr:uid="{30EB194D-D8A9-4894-8264-DE967D58CA6C}">
      <text>
        <t xml:space="preserve">[Threaded comment]
Your version of Excel allows you to read this threaded comment; however, any edits to it will get removed if the file is opened in a newer version of Excel. Learn more: https://go.microsoft.com/fwlink/?linkid=870924
Comment:
    (215+1)/217*100=99%
Reply:
    (196+3)/2
</t>
      </text>
    </comment>
  </commentList>
</comments>
</file>

<file path=xl/sharedStrings.xml><?xml version="1.0" encoding="utf-8"?>
<sst xmlns="http://schemas.openxmlformats.org/spreadsheetml/2006/main" count="92" uniqueCount="76">
  <si>
    <t>S.no</t>
  </si>
  <si>
    <t>Parameter</t>
  </si>
  <si>
    <t>Weightage</t>
  </si>
  <si>
    <t>Unit of Measure</t>
  </si>
  <si>
    <t>Jawalgera</t>
  </si>
  <si>
    <t>Ambada</t>
  </si>
  <si>
    <t>Sagapara</t>
  </si>
  <si>
    <t>Bhopalgarh</t>
  </si>
  <si>
    <t>Tharad</t>
  </si>
  <si>
    <t>Honnati(50 MW)</t>
  </si>
  <si>
    <t>Aland(W)(212 MW)</t>
  </si>
  <si>
    <t>Aland (S)(120MW)</t>
  </si>
  <si>
    <t>Aland(B)</t>
  </si>
  <si>
    <t>Pathmada (S)(45MW)</t>
  </si>
  <si>
    <t>Byagwat</t>
  </si>
  <si>
    <t>Chittaguppa</t>
  </si>
  <si>
    <t>Halburga</t>
  </si>
  <si>
    <t>Farahtabad</t>
  </si>
  <si>
    <t>NEPL</t>
  </si>
  <si>
    <t>MH-50</t>
  </si>
  <si>
    <t>Site Field quality plan</t>
  </si>
  <si>
    <t>Percentage completed</t>
  </si>
  <si>
    <t>Approved BOQ status</t>
  </si>
  <si>
    <t>% completion</t>
  </si>
  <si>
    <t>NC closure status</t>
  </si>
  <si>
    <t>% NC closed</t>
  </si>
  <si>
    <t>Request for inspection compliance status</t>
  </si>
  <si>
    <t>% complied</t>
  </si>
  <si>
    <t>No of observation raised</t>
  </si>
  <si>
    <t>Number 0.5 Marks deducted for every observation raised</t>
  </si>
  <si>
    <t xml:space="preserve">No of observation closed on time </t>
  </si>
  <si>
    <t xml:space="preserve">Number 0.5 marks given for every observation closed </t>
  </si>
  <si>
    <t>Resource deployed by contractor</t>
  </si>
  <si>
    <t>1 per 20 MW</t>
  </si>
  <si>
    <t>Stop Work due to quality issues(QUATERLY)</t>
  </si>
  <si>
    <t>100% score for 0 events
80% score for 1 event
60% score for 2 events
40% score for 3 events
0% score if more than 3 events</t>
  </si>
  <si>
    <t>Hours of quality training</t>
  </si>
  <si>
    <t>Number of hours trained per 1000 hour worked</t>
  </si>
  <si>
    <t>Incoming material inspection compliance rate</t>
  </si>
  <si>
    <t>% complied  (QA Reports submitted / QA inspection required - GRN)</t>
  </si>
  <si>
    <t xml:space="preserve">Total Rating </t>
  </si>
  <si>
    <t>Jawalgera(50MW)</t>
  </si>
  <si>
    <t>Ambada+Mahadev(198MW)&amp; PP</t>
  </si>
  <si>
    <t>Sagapara(40MW)</t>
  </si>
  <si>
    <t>Bhopalgarh(150MW)</t>
  </si>
  <si>
    <t>Tharad(52.5MW)</t>
  </si>
  <si>
    <t>Aland (B)(41.5 MW)</t>
  </si>
  <si>
    <t>FOM</t>
  </si>
  <si>
    <t>FOM Closed</t>
  </si>
  <si>
    <t>Total Observation</t>
  </si>
  <si>
    <t xml:space="preserve">Observation Closed </t>
  </si>
  <si>
    <t>NC</t>
  </si>
  <si>
    <t>NC Closed</t>
  </si>
  <si>
    <t>NC closure overall</t>
  </si>
  <si>
    <t>Req.RFI</t>
  </si>
  <si>
    <t>NIL</t>
  </si>
  <si>
    <t>RFI Closed</t>
  </si>
  <si>
    <t>RFI Required till date</t>
  </si>
  <si>
    <t>RFI Score</t>
  </si>
  <si>
    <t xml:space="preserve">Training personnel </t>
  </si>
  <si>
    <t>Training sessions</t>
  </si>
  <si>
    <t>TOPICS</t>
  </si>
  <si>
    <t xml:space="preserve">MMS Alignment, Degree, Ground clearance , Fastners should be tight as per given standards and all accessories should be used properly 
Before Laying IR must be checked, follow the Laying process, used jacks and roller, and work maintain as per approved drwg </t>
  </si>
  <si>
    <t>"1.Module Ground Clearance – Ensure proper ground clearance of modules as per drawing/specification before final torquing.
2.Bracket Nut-Bolt Tightening – All saddle brackets nut-bolts must be tightened properly with required torque.
Table to Table Alignment – Check proper alignment between tables before tightening bolts.
3.Torque Wrench Use – Always use a calibrated torque wrench to achieve correct torque value.
Final Inspection – After tightening, perform visual and physical inspection to ensure no loose nut-bolts remain."
"1.Surface Preparation – Roof surface should be properly cleaned. Remove dust, loose particles, oil, and standing water before starting waterproofing work.
2.Material Application – Apply waterproofing material (bitumen / coating as per specification) uniformly with proper thickness as per approved method statement.
3.Slope and Drainage – Ensure proper roof slope towards drain points so that water does not accumulate on the roof surface.
4Curing and Protection – After application, allow proper curing and protect the waterproofing layer from damage during further construction activities."
"TOPIC- BRICK WORK, PLASTER,FINISHING WORK 
"</t>
  </si>
  <si>
    <t>"1. Mandatory Flat length maintain
2. Proper Continuous Welding
3. Avoid Tack Welding
4. Chipping &amp; Bituminuous Paint Apply
5. All Extension Flat connection to earthmat
6. Proper size rod &amp; welding machine usuage
7. PPE'S Usuage"
"1. Proper PPE usage and safety compliance guidelines.
2. URS positioning and hub radius measurement accuracy.
3. Blade assembly requirements, including crane selection and positioning.
4. Verification of TPI and load chart before commencing work.
5. Step-by-step blade assembly procedure.
6. Torque values for blade studs and rotor jig bolts.
7. Pre-lifting checks for all ropes, slings, and lifting checklists.
8. Requirement of 100-ton superlift counterweight.
9. Support crane positioning and safe lifting procedure.
10. Complete WTG installation procedure briefing.
11. Common challenges faced during installation and preventive measures.
12. WTG cleaning requirements and best practices. "
"1. Incoming material documentation procedures.
2. Offloading protocols.
3. Offloading area clearance requirements.
4. Lifting tools and tackles – condition check and handling protocol.
5. Loading and offloading clearance process.
6. Guide rope usage guidelines.
7. Positioning procedures for 400T and 160T crawler cranes during loading and offloading.
8. Common challenges faced during loading and offloading operations.
9. Proper PPE usage and safety compliance guidelines"
"1. Conductor frayness check
2. Insulator check
3. Tension hardware proper crimping
4. Double tension &amp; Cotter pin usuage
5. Jumper sag &amp; clearance maintain
6. Tower tightness &amp; correct size hardwares 
7. PPE's usuage"</t>
  </si>
  <si>
    <t>"1. Cement mortar Mix  Ratio and brick  wall thickness checking
2. cement mortar thickness shall be as per Dwg
3.slab  De-shuttering process 
4. Required tools and tackle
5. Safety requirements
6. Hacking the Rcc structures before starting plastering work"
"1. HT cable laying 
2. Sand laying and checking
    3. Bricks laying in HT trench 
4 Safety requirements"</t>
  </si>
  <si>
    <t>"1. Column height checking
2. Column plumb cheking 
3. Properly covered block provided 
4. Properly sterriups bending."
"1. Marking 
2. Bar binding 
3. Shuttering 
4. Casting"</t>
  </si>
  <si>
    <t>Resource required at site</t>
  </si>
  <si>
    <t xml:space="preserve">Resource score </t>
  </si>
  <si>
    <t>IMIR submitted</t>
  </si>
  <si>
    <t>IMIR required</t>
  </si>
  <si>
    <t xml:space="preserve">IMIR closure </t>
  </si>
  <si>
    <t>Work Stop (Active work stop events)</t>
  </si>
  <si>
    <t xml:space="preserve">Total Training Till date </t>
  </si>
  <si>
    <t>Total Participants</t>
  </si>
  <si>
    <t>Concrete &amp; curing after casting  sessions, structure proper curing (MCR)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</si>
</sst>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6"/>
      <color theme="1"/>
      <name val="Aptos Narrow"/>
      <family val="2"/>
      <scheme val="minor"/>
    </font>
    <font>
      <sz val="16"/>
      <color rgb="FF000000"/>
      <name val="Aptos Narrow"/>
      <family val="2"/>
      <scheme val="minor"/>
    </font>
    <font>
      <b/>
      <sz val="14"/>
      <color theme="0"/>
      <name val="Calibri"/>
      <family val="2"/>
    </font>
    <font>
      <b/>
      <sz val="16"/>
      <name val="Calibri"/>
      <family val="2"/>
    </font>
    <font>
      <b/>
      <sz val="16"/>
      <color rgb="FF000000"/>
      <name val="Aptos Narrow"/>
      <family val="2"/>
      <scheme val="minor"/>
    </font>
    <font>
      <b/>
      <sz val="16"/>
      <color theme="1"/>
      <name val="Aptos Narrow"/>
      <family val="2"/>
      <scheme val="minor"/>
    </font>
    <font>
      <b/>
      <sz val="14"/>
      <color rgb="FF000000"/>
      <name val="Calibri"/>
      <family val="2"/>
    </font>
    <font>
      <sz val="16"/>
      <color rgb="FF000000"/>
      <name val="Calibri"/>
      <family val="2"/>
    </font>
    <font>
      <sz val="16"/>
      <color theme="1"/>
      <name val="Calibri"/>
      <family val="2"/>
    </font>
    <font>
      <b/>
      <sz val="16"/>
      <color rgb="FF000000"/>
      <name val="Calibri"/>
      <family val="2"/>
    </font>
    <font>
      <sz val="14"/>
      <color theme="1"/>
      <name val="Aptos Narrow"/>
      <family val="2"/>
      <scheme val="minor"/>
    </font>
    <font>
      <b/>
      <sz val="14"/>
      <color theme="1"/>
      <name val="Aptos Narrow"/>
      <family val="2"/>
      <scheme val="minor"/>
    </font>
    <font>
      <b/>
      <sz val="14"/>
      <color rgb="FFFFFFFF"/>
      <name val="Calibri"/>
      <family val="2"/>
    </font>
    <font>
      <b/>
      <sz val="14"/>
      <name val="Calibri"/>
      <family val="2"/>
    </font>
    <font>
      <sz val="16"/>
      <color rgb="FF242424"/>
      <name val="Aptos Narrow"/>
      <family val="2"/>
    </font>
    <font>
      <sz val="16"/>
      <color rgb="FF000000"/>
      <name val="Aptos Narrow"/>
      <family val="2"/>
    </font>
    <font>
      <sz val="16"/>
      <color rgb="FFFFFF00"/>
      <name val="Aptos Narrow"/>
      <family val="2"/>
      <scheme val="minor"/>
    </font>
    <font>
      <b/>
      <sz val="20"/>
      <color theme="1"/>
      <name val="Aptos Narrow"/>
      <family val="2"/>
      <scheme val="minor"/>
    </font>
    <font>
      <sz val="10"/>
      <color theme="1"/>
      <name val="Aptos Narrow"/>
      <family val="2"/>
      <scheme val="minor"/>
    </font>
    <font>
      <b/>
      <sz val="10"/>
      <color theme="1"/>
      <name val="Aptos Narrow"/>
      <family val="2"/>
      <scheme val="minor"/>
    </font>
    <font>
      <b/>
      <sz val="12"/>
      <color theme="1"/>
      <name val="Aptos Narrow"/>
      <family val="2"/>
      <scheme val="minor"/>
    </font>
    <font>
      <b/>
      <sz val="14"/>
      <color rgb="FF000000"/>
      <name val="Aptos Narrow"/>
      <family val="2"/>
      <scheme val="minor"/>
    </font>
  </fonts>
  <fills count="16">
    <fill>
      <patternFill patternType="none"/>
    </fill>
    <fill>
      <patternFill patternType="gray125"/>
    </fill>
    <fill>
      <patternFill patternType="solid">
        <fgColor rgb="FF92D050"/>
        <bgColor indexed="64"/>
      </patternFill>
    </fill>
    <fill>
      <patternFill patternType="solid">
        <fgColor theme="3" tint="9.9978637043366805E-2"/>
        <bgColor indexed="64"/>
      </patternFill>
    </fill>
    <fill>
      <patternFill patternType="solid">
        <fgColor rgb="FFFFC00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rgb="FF5B9BD5"/>
        <bgColor rgb="FF5B9BD5"/>
      </patternFill>
    </fill>
    <fill>
      <patternFill patternType="solid">
        <fgColor rgb="FFFFD966"/>
        <bgColor rgb="FF000000"/>
      </patternFill>
    </fill>
    <fill>
      <patternFill patternType="solid">
        <fgColor theme="9" tint="0.79998168889431442"/>
        <bgColor indexed="64"/>
      </patternFill>
    </fill>
    <fill>
      <patternFill patternType="solid">
        <fgColor rgb="FFC6E0B4"/>
        <bgColor rgb="FF000000"/>
      </patternFill>
    </fill>
    <fill>
      <patternFill patternType="solid">
        <fgColor theme="8"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7" tint="0.59999389629810485"/>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1"/>
      </left>
      <right/>
      <top style="thin">
        <color theme="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theme="0" tint="-0.14999847407452621"/>
      </left>
      <right/>
      <top style="thin">
        <color theme="0" tint="-0.14999847407452621"/>
      </top>
      <bottom style="thin">
        <color theme="0" tint="-0.14999847407452621"/>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9" fontId="1" fillId="0" borderId="0" applyFont="0" applyFill="0" applyBorder="0" applyAlignment="0" applyProtection="0"/>
    <xf numFmtId="0" fontId="1" fillId="0" borderId="0"/>
  </cellStyleXfs>
  <cellXfs count="157">
    <xf numFmtId="0" fontId="0" fillId="0" borderId="0" xfId="0"/>
    <xf numFmtId="0" fontId="2" fillId="2" borderId="0" xfId="0" applyFont="1" applyFill="1"/>
    <xf numFmtId="0" fontId="3" fillId="2" borderId="0" xfId="0" applyFont="1" applyFill="1"/>
    <xf numFmtId="0" fontId="2" fillId="2" borderId="1" xfId="0" applyFont="1" applyFill="1" applyBorder="1"/>
    <xf numFmtId="0" fontId="0" fillId="2" borderId="0" xfId="0" applyFill="1"/>
    <xf numFmtId="0" fontId="4" fillId="3" borderId="2" xfId="0" applyFont="1" applyFill="1" applyBorder="1"/>
    <xf numFmtId="0" fontId="4" fillId="3" borderId="3" xfId="0" applyFont="1" applyFill="1" applyBorder="1"/>
    <xf numFmtId="0" fontId="5" fillId="4" borderId="1" xfId="0" applyFont="1" applyFill="1" applyBorder="1"/>
    <xf numFmtId="0" fontId="5" fillId="5" borderId="1" xfId="0" applyFont="1" applyFill="1" applyBorder="1"/>
    <xf numFmtId="0" fontId="6" fillId="4" borderId="1" xfId="0" applyFont="1" applyFill="1" applyBorder="1"/>
    <xf numFmtId="0" fontId="6" fillId="4" borderId="4" xfId="0" applyFont="1" applyFill="1" applyBorder="1"/>
    <xf numFmtId="0" fontId="7" fillId="6" borderId="5" xfId="0" applyFont="1" applyFill="1" applyBorder="1"/>
    <xf numFmtId="0" fontId="7" fillId="4" borderId="1" xfId="0" applyFont="1" applyFill="1" applyBorder="1"/>
    <xf numFmtId="0" fontId="7" fillId="4" borderId="6" xfId="0" applyFont="1" applyFill="1" applyBorder="1"/>
    <xf numFmtId="0" fontId="7" fillId="6" borderId="6" xfId="0" applyFont="1" applyFill="1" applyBorder="1"/>
    <xf numFmtId="0" fontId="8" fillId="0" borderId="7" xfId="0" applyFont="1" applyBorder="1"/>
    <xf numFmtId="10" fontId="8" fillId="0" borderId="7" xfId="0" applyNumberFormat="1" applyFont="1" applyBorder="1"/>
    <xf numFmtId="0" fontId="8" fillId="0" borderId="8" xfId="0" applyFont="1" applyBorder="1"/>
    <xf numFmtId="9" fontId="9" fillId="2" borderId="1" xfId="0" applyNumberFormat="1" applyFont="1" applyFill="1" applyBorder="1"/>
    <xf numFmtId="9" fontId="10" fillId="2" borderId="1" xfId="0" applyNumberFormat="1" applyFont="1" applyFill="1" applyBorder="1" applyAlignment="1">
      <alignment horizontal="right"/>
    </xf>
    <xf numFmtId="9" fontId="9" fillId="2" borderId="1" xfId="0" applyNumberFormat="1" applyFont="1" applyFill="1" applyBorder="1" applyAlignment="1">
      <alignment horizontal="right"/>
    </xf>
    <xf numFmtId="9" fontId="2" fillId="2" borderId="4" xfId="0" applyNumberFormat="1" applyFont="1" applyFill="1" applyBorder="1"/>
    <xf numFmtId="9" fontId="2" fillId="2" borderId="1" xfId="0" applyNumberFormat="1" applyFont="1" applyFill="1" applyBorder="1"/>
    <xf numFmtId="0" fontId="8" fillId="0" borderId="9" xfId="0" applyFont="1" applyBorder="1"/>
    <xf numFmtId="10" fontId="8" fillId="0" borderId="8" xfId="0" applyNumberFormat="1" applyFont="1" applyBorder="1"/>
    <xf numFmtId="0" fontId="8" fillId="0" borderId="10" xfId="0" applyFont="1" applyBorder="1"/>
    <xf numFmtId="9" fontId="9" fillId="2" borderId="6" xfId="0" applyNumberFormat="1" applyFont="1" applyFill="1" applyBorder="1"/>
    <xf numFmtId="9" fontId="10" fillId="2" borderId="6" xfId="0" applyNumberFormat="1" applyFont="1" applyFill="1" applyBorder="1" applyAlignment="1">
      <alignment horizontal="right"/>
    </xf>
    <xf numFmtId="9" fontId="2" fillId="2" borderId="5" xfId="0" applyNumberFormat="1" applyFont="1" applyFill="1" applyBorder="1"/>
    <xf numFmtId="0" fontId="8" fillId="7" borderId="1" xfId="0" applyFont="1" applyFill="1" applyBorder="1"/>
    <xf numFmtId="10" fontId="8" fillId="7" borderId="1" xfId="0" applyNumberFormat="1" applyFont="1" applyFill="1" applyBorder="1"/>
    <xf numFmtId="9" fontId="9" fillId="2" borderId="4" xfId="0" applyNumberFormat="1" applyFont="1" applyFill="1" applyBorder="1"/>
    <xf numFmtId="0" fontId="0" fillId="7" borderId="1" xfId="0" applyFill="1" applyBorder="1"/>
    <xf numFmtId="9" fontId="10" fillId="2" borderId="1" xfId="1" applyFont="1" applyFill="1" applyBorder="1" applyAlignment="1">
      <alignment horizontal="right"/>
    </xf>
    <xf numFmtId="9" fontId="10" fillId="2" borderId="1" xfId="0" applyNumberFormat="1" applyFont="1" applyFill="1" applyBorder="1"/>
    <xf numFmtId="0" fontId="8" fillId="0" borderId="11" xfId="0" applyFont="1" applyBorder="1"/>
    <xf numFmtId="9" fontId="8" fillId="0" borderId="11" xfId="0" applyNumberFormat="1" applyFont="1" applyBorder="1"/>
    <xf numFmtId="0" fontId="8" fillId="0" borderId="12" xfId="0" applyFont="1" applyBorder="1" applyAlignment="1">
      <alignment wrapText="1"/>
    </xf>
    <xf numFmtId="9" fontId="9" fillId="2" borderId="13" xfId="0" applyNumberFormat="1" applyFont="1" applyFill="1" applyBorder="1" applyAlignment="1">
      <alignment horizontal="right"/>
    </xf>
    <xf numFmtId="9" fontId="11" fillId="2" borderId="13" xfId="0" applyNumberFormat="1" applyFont="1" applyFill="1" applyBorder="1" applyAlignment="1">
      <alignment horizontal="right"/>
    </xf>
    <xf numFmtId="9" fontId="9" fillId="2" borderId="14" xfId="0" applyNumberFormat="1" applyFont="1" applyFill="1" applyBorder="1" applyAlignment="1">
      <alignment horizontal="right"/>
    </xf>
    <xf numFmtId="9" fontId="8" fillId="0" borderId="7" xfId="0" applyNumberFormat="1" applyFont="1" applyBorder="1"/>
    <xf numFmtId="0" fontId="8" fillId="0" borderId="15" xfId="0" applyFont="1" applyBorder="1"/>
    <xf numFmtId="0" fontId="12" fillId="0" borderId="7" xfId="0" applyFont="1" applyBorder="1"/>
    <xf numFmtId="0" fontId="13" fillId="0" borderId="7" xfId="0" applyFont="1" applyBorder="1" applyAlignment="1">
      <alignment horizontal="right"/>
    </xf>
    <xf numFmtId="9" fontId="7" fillId="7" borderId="1" xfId="1" applyFont="1" applyFill="1" applyBorder="1"/>
    <xf numFmtId="9" fontId="6" fillId="7" borderId="1" xfId="1" applyFont="1" applyFill="1" applyBorder="1"/>
    <xf numFmtId="9" fontId="7" fillId="7" borderId="4" xfId="1" applyFont="1" applyFill="1" applyBorder="1"/>
    <xf numFmtId="9" fontId="7" fillId="7" borderId="14" xfId="1" applyFont="1" applyFill="1" applyBorder="1"/>
    <xf numFmtId="0" fontId="12" fillId="0" borderId="0" xfId="0" applyFont="1"/>
    <xf numFmtId="0" fontId="2" fillId="0" borderId="0" xfId="0" applyFont="1"/>
    <xf numFmtId="0" fontId="3" fillId="0" borderId="0" xfId="0" applyFont="1"/>
    <xf numFmtId="0" fontId="2" fillId="0" borderId="1" xfId="0" applyFont="1" applyBorder="1"/>
    <xf numFmtId="0" fontId="14" fillId="8" borderId="1" xfId="0" applyFont="1" applyFill="1" applyBorder="1"/>
    <xf numFmtId="0" fontId="5" fillId="9" borderId="1" xfId="0" applyFont="1" applyFill="1" applyBorder="1"/>
    <xf numFmtId="0" fontId="5" fillId="10" borderId="1" xfId="0" applyFont="1" applyFill="1" applyBorder="1"/>
    <xf numFmtId="0" fontId="5" fillId="11" borderId="1" xfId="0" applyFont="1" applyFill="1" applyBorder="1"/>
    <xf numFmtId="0" fontId="7" fillId="6" borderId="4" xfId="0" applyFont="1" applyFill="1" applyBorder="1"/>
    <xf numFmtId="0" fontId="15" fillId="0" borderId="1" xfId="0" applyFont="1" applyBorder="1" applyAlignment="1">
      <alignment wrapText="1"/>
    </xf>
    <xf numFmtId="9" fontId="12" fillId="0" borderId="1" xfId="0" applyNumberFormat="1" applyFont="1" applyBorder="1"/>
    <xf numFmtId="0" fontId="12" fillId="0" borderId="1" xfId="0" applyFont="1" applyBorder="1"/>
    <xf numFmtId="2" fontId="2" fillId="2" borderId="1" xfId="0" applyNumberFormat="1" applyFont="1" applyFill="1" applyBorder="1"/>
    <xf numFmtId="2" fontId="3" fillId="2" borderId="1" xfId="0" applyNumberFormat="1" applyFont="1" applyFill="1" applyBorder="1"/>
    <xf numFmtId="2" fontId="2" fillId="2" borderId="4" xfId="0" applyNumberFormat="1" applyFont="1" applyFill="1" applyBorder="1"/>
    <xf numFmtId="0" fontId="13" fillId="0" borderId="1" xfId="0" applyFont="1" applyBorder="1"/>
    <xf numFmtId="0" fontId="15" fillId="0" borderId="6" xfId="0" applyFont="1" applyBorder="1" applyAlignment="1">
      <alignment wrapText="1"/>
    </xf>
    <xf numFmtId="0" fontId="12" fillId="0" borderId="6" xfId="0" applyFont="1" applyBorder="1"/>
    <xf numFmtId="2" fontId="2" fillId="2" borderId="6" xfId="0" applyNumberFormat="1" applyFont="1" applyFill="1" applyBorder="1"/>
    <xf numFmtId="2" fontId="3" fillId="2" borderId="6" xfId="0" applyNumberFormat="1" applyFont="1" applyFill="1" applyBorder="1"/>
    <xf numFmtId="2" fontId="2" fillId="2" borderId="5" xfId="0" applyNumberFormat="1" applyFont="1" applyFill="1" applyBorder="1"/>
    <xf numFmtId="0" fontId="13" fillId="12" borderId="6" xfId="0" applyFont="1" applyFill="1" applyBorder="1"/>
    <xf numFmtId="0" fontId="12" fillId="12" borderId="6" xfId="0" applyFont="1" applyFill="1" applyBorder="1"/>
    <xf numFmtId="0" fontId="12" fillId="12" borderId="6" xfId="0" applyFont="1" applyFill="1" applyBorder="1" applyAlignment="1">
      <alignment wrapText="1"/>
    </xf>
    <xf numFmtId="2" fontId="16" fillId="12" borderId="6" xfId="0" applyNumberFormat="1" applyFont="1" applyFill="1" applyBorder="1"/>
    <xf numFmtId="2" fontId="17" fillId="12" borderId="6" xfId="0" applyNumberFormat="1" applyFont="1" applyFill="1" applyBorder="1"/>
    <xf numFmtId="2" fontId="2" fillId="12" borderId="6" xfId="0" applyNumberFormat="1" applyFont="1" applyFill="1" applyBorder="1"/>
    <xf numFmtId="2" fontId="16" fillId="12" borderId="5" xfId="0" applyNumberFormat="1" applyFont="1" applyFill="1" applyBorder="1"/>
    <xf numFmtId="2" fontId="16" fillId="12" borderId="4" xfId="0" applyNumberFormat="1" applyFont="1" applyFill="1" applyBorder="1"/>
    <xf numFmtId="0" fontId="13" fillId="13" borderId="1" xfId="0" applyFont="1" applyFill="1" applyBorder="1"/>
    <xf numFmtId="0" fontId="12" fillId="13" borderId="1" xfId="0" applyFont="1" applyFill="1" applyBorder="1"/>
    <xf numFmtId="1" fontId="2" fillId="2" borderId="1" xfId="0" applyNumberFormat="1" applyFont="1" applyFill="1" applyBorder="1"/>
    <xf numFmtId="0" fontId="3" fillId="2" borderId="1" xfId="0" applyFont="1" applyFill="1" applyBorder="1"/>
    <xf numFmtId="1" fontId="3" fillId="2" borderId="1" xfId="0" applyNumberFormat="1" applyFont="1" applyFill="1" applyBorder="1"/>
    <xf numFmtId="0" fontId="2" fillId="2" borderId="4" xfId="0" applyFont="1" applyFill="1" applyBorder="1"/>
    <xf numFmtId="1" fontId="2" fillId="2" borderId="4" xfId="0" applyNumberFormat="1" applyFont="1" applyFill="1" applyBorder="1"/>
    <xf numFmtId="0" fontId="0" fillId="0" borderId="1" xfId="0" applyBorder="1"/>
    <xf numFmtId="0" fontId="13" fillId="13" borderId="6" xfId="0" applyFont="1" applyFill="1" applyBorder="1"/>
    <xf numFmtId="0" fontId="12" fillId="13" borderId="6" xfId="0" applyFont="1" applyFill="1" applyBorder="1"/>
    <xf numFmtId="0" fontId="2" fillId="2" borderId="6" xfId="0" applyFont="1" applyFill="1" applyBorder="1"/>
    <xf numFmtId="0" fontId="2" fillId="0" borderId="6" xfId="0" applyFont="1" applyBorder="1"/>
    <xf numFmtId="0" fontId="3" fillId="2" borderId="6" xfId="0" applyFont="1" applyFill="1" applyBorder="1"/>
    <xf numFmtId="1" fontId="2" fillId="2" borderId="6" xfId="0" applyNumberFormat="1" applyFont="1" applyFill="1" applyBorder="1"/>
    <xf numFmtId="1" fontId="3" fillId="2" borderId="6" xfId="0" applyNumberFormat="1" applyFont="1" applyFill="1" applyBorder="1"/>
    <xf numFmtId="0" fontId="3" fillId="2" borderId="5" xfId="0" applyFont="1" applyFill="1" applyBorder="1"/>
    <xf numFmtId="1" fontId="3" fillId="2" borderId="4" xfId="0" applyNumberFormat="1" applyFont="1" applyFill="1" applyBorder="1"/>
    <xf numFmtId="0" fontId="3" fillId="2" borderId="4" xfId="0" applyFont="1" applyFill="1" applyBorder="1"/>
    <xf numFmtId="0" fontId="12" fillId="4" borderId="0" xfId="0" applyFont="1" applyFill="1"/>
    <xf numFmtId="0" fontId="13" fillId="4" borderId="6" xfId="0" applyFont="1" applyFill="1" applyBorder="1"/>
    <xf numFmtId="0" fontId="12" fillId="4" borderId="6" xfId="0" applyFont="1" applyFill="1" applyBorder="1"/>
    <xf numFmtId="0" fontId="18" fillId="7" borderId="6" xfId="0" applyFont="1" applyFill="1" applyBorder="1"/>
    <xf numFmtId="0" fontId="2" fillId="7" borderId="6" xfId="0" applyFont="1" applyFill="1" applyBorder="1"/>
    <xf numFmtId="0" fontId="3" fillId="7" borderId="4" xfId="0" applyFont="1" applyFill="1" applyBorder="1"/>
    <xf numFmtId="0" fontId="0" fillId="4" borderId="1" xfId="0" applyFill="1" applyBorder="1"/>
    <xf numFmtId="0" fontId="0" fillId="4" borderId="0" xfId="0" applyFill="1"/>
    <xf numFmtId="0" fontId="3" fillId="0" borderId="6" xfId="0" applyFont="1" applyBorder="1"/>
    <xf numFmtId="0" fontId="3" fillId="14" borderId="6" xfId="0" applyFont="1" applyFill="1" applyBorder="1"/>
    <xf numFmtId="0" fontId="2" fillId="0" borderId="5" xfId="0" applyFont="1" applyBorder="1"/>
    <xf numFmtId="0" fontId="2" fillId="0" borderId="4" xfId="0" applyFont="1" applyBorder="1"/>
    <xf numFmtId="0" fontId="12" fillId="7" borderId="0" xfId="0" applyFont="1" applyFill="1"/>
    <xf numFmtId="0" fontId="13" fillId="7" borderId="6" xfId="0" applyFont="1" applyFill="1" applyBorder="1"/>
    <xf numFmtId="0" fontId="12" fillId="7" borderId="6" xfId="0" applyFont="1" applyFill="1" applyBorder="1"/>
    <xf numFmtId="0" fontId="3" fillId="7" borderId="6" xfId="0" applyFont="1" applyFill="1" applyBorder="1"/>
    <xf numFmtId="0" fontId="2" fillId="7" borderId="5" xfId="0" applyFont="1" applyFill="1" applyBorder="1"/>
    <xf numFmtId="0" fontId="2" fillId="7" borderId="4" xfId="0" applyFont="1" applyFill="1" applyBorder="1"/>
    <xf numFmtId="2" fontId="2" fillId="7" borderId="4" xfId="0" applyNumberFormat="1" applyFont="1" applyFill="1" applyBorder="1"/>
    <xf numFmtId="0" fontId="0" fillId="7" borderId="0" xfId="0" applyFill="1"/>
    <xf numFmtId="0" fontId="13" fillId="15" borderId="6" xfId="0" applyFont="1" applyFill="1" applyBorder="1"/>
    <xf numFmtId="0" fontId="12" fillId="15" borderId="6" xfId="0" applyFont="1" applyFill="1" applyBorder="1"/>
    <xf numFmtId="0" fontId="7" fillId="2" borderId="6" xfId="0" applyFont="1" applyFill="1" applyBorder="1"/>
    <xf numFmtId="0" fontId="7" fillId="2" borderId="1" xfId="0" applyFont="1" applyFill="1" applyBorder="1"/>
    <xf numFmtId="0" fontId="6" fillId="2" borderId="6" xfId="0" applyFont="1" applyFill="1" applyBorder="1"/>
    <xf numFmtId="0" fontId="7" fillId="2" borderId="5" xfId="0" applyFont="1" applyFill="1" applyBorder="1"/>
    <xf numFmtId="0" fontId="6" fillId="2" borderId="1" xfId="0" applyFont="1" applyFill="1" applyBorder="1"/>
    <xf numFmtId="0" fontId="6" fillId="2" borderId="16" xfId="0" applyFont="1" applyFill="1" applyBorder="1"/>
    <xf numFmtId="0" fontId="7" fillId="2" borderId="16" xfId="0" applyFont="1" applyFill="1" applyBorder="1"/>
    <xf numFmtId="0" fontId="19" fillId="0" borderId="1" xfId="0" applyFont="1" applyBorder="1"/>
    <xf numFmtId="0" fontId="7" fillId="2" borderId="0" xfId="0" applyFont="1" applyFill="1"/>
    <xf numFmtId="0" fontId="20" fillId="0" borderId="0" xfId="0" applyFont="1"/>
    <xf numFmtId="0" fontId="21" fillId="15" borderId="1" xfId="0" applyFont="1" applyFill="1" applyBorder="1"/>
    <xf numFmtId="0" fontId="20" fillId="15" borderId="1" xfId="0" applyFont="1" applyFill="1" applyBorder="1"/>
    <xf numFmtId="0" fontId="21" fillId="15" borderId="1" xfId="0" applyFont="1" applyFill="1" applyBorder="1" applyAlignment="1">
      <alignment wrapText="1"/>
    </xf>
    <xf numFmtId="0" fontId="21" fillId="0" borderId="1" xfId="0" applyFont="1" applyBorder="1" applyAlignment="1">
      <alignment wrapText="1"/>
    </xf>
    <xf numFmtId="0" fontId="22" fillId="15" borderId="1" xfId="0" applyFont="1" applyFill="1" applyBorder="1" applyAlignment="1">
      <alignment wrapText="1"/>
    </xf>
    <xf numFmtId="0" fontId="20" fillId="0" borderId="17" xfId="2" applyFont="1" applyBorder="1" applyAlignment="1">
      <alignment horizontal="center" vertical="center" wrapText="1"/>
    </xf>
    <xf numFmtId="0" fontId="23" fillId="0" borderId="1" xfId="0" applyFont="1" applyBorder="1" applyAlignment="1">
      <alignment horizontal="center" wrapText="1"/>
    </xf>
    <xf numFmtId="0" fontId="21" fillId="0" borderId="18" xfId="2" applyFont="1" applyBorder="1" applyAlignment="1">
      <alignment horizontal="left" vertical="center" wrapText="1"/>
    </xf>
    <xf numFmtId="0" fontId="21" fillId="0" borderId="13" xfId="0" applyFont="1" applyBorder="1" applyAlignment="1">
      <alignment horizontal="center" vertical="center" wrapText="1"/>
    </xf>
    <xf numFmtId="0" fontId="21" fillId="0" borderId="1" xfId="0" applyFont="1" applyBorder="1" applyAlignment="1">
      <alignment vertical="center" wrapText="1"/>
    </xf>
    <xf numFmtId="0" fontId="20" fillId="0" borderId="16" xfId="0" applyFont="1" applyBorder="1"/>
    <xf numFmtId="0" fontId="20" fillId="0" borderId="1" xfId="0" applyFont="1" applyBorder="1" applyAlignment="1">
      <alignment wrapText="1"/>
    </xf>
    <xf numFmtId="0" fontId="20" fillId="0" borderId="4" xfId="0" applyFont="1" applyBorder="1"/>
    <xf numFmtId="0" fontId="13" fillId="4" borderId="1" xfId="0" applyFont="1" applyFill="1" applyBorder="1"/>
    <xf numFmtId="0" fontId="12" fillId="4" borderId="1" xfId="0" applyFont="1" applyFill="1" applyBorder="1"/>
    <xf numFmtId="0" fontId="2" fillId="4" borderId="1" xfId="0" applyFont="1" applyFill="1" applyBorder="1"/>
    <xf numFmtId="0" fontId="3" fillId="4" borderId="1" xfId="0" applyFont="1" applyFill="1" applyBorder="1"/>
    <xf numFmtId="0" fontId="2" fillId="4" borderId="4" xfId="0" applyFont="1" applyFill="1" applyBorder="1"/>
    <xf numFmtId="0" fontId="2" fillId="4" borderId="14" xfId="0" applyFont="1" applyFill="1" applyBorder="1"/>
    <xf numFmtId="0" fontId="8" fillId="4" borderId="0" xfId="0" applyFont="1" applyFill="1"/>
    <xf numFmtId="0" fontId="13" fillId="7" borderId="1" xfId="0" applyFont="1" applyFill="1" applyBorder="1"/>
    <xf numFmtId="0" fontId="12" fillId="7" borderId="1" xfId="0" applyFont="1" applyFill="1" applyBorder="1"/>
    <xf numFmtId="0" fontId="7" fillId="7" borderId="1" xfId="0" applyFont="1" applyFill="1" applyBorder="1"/>
    <xf numFmtId="0" fontId="7" fillId="7" borderId="4" xfId="0" applyFont="1" applyFill="1" applyBorder="1"/>
    <xf numFmtId="0" fontId="7" fillId="0" borderId="1" xfId="0" applyFont="1" applyBorder="1"/>
    <xf numFmtId="0" fontId="6" fillId="0" borderId="1" xfId="0" applyFont="1" applyBorder="1"/>
    <xf numFmtId="0" fontId="7" fillId="0" borderId="4" xfId="0" applyFont="1" applyBorder="1"/>
    <xf numFmtId="0" fontId="6" fillId="7" borderId="1" xfId="0" applyFont="1" applyFill="1" applyBorder="1"/>
    <xf numFmtId="0" fontId="3" fillId="0" borderId="1" xfId="0" applyFont="1" applyBorder="1"/>
  </cellXfs>
  <cellStyles count="3">
    <cellStyle name="Normal" xfId="0" builtinId="0"/>
    <cellStyle name="Normal 9" xfId="2" xr:uid="{380E3B70-D130-4EF9-B638-46481658F48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styles" Target="styles.xml"/><Relationship Id="rId3" Type="http://schemas.openxmlformats.org/officeDocument/2006/relationships/externalLink" Target="externalLinks/externalLink2.xml"/><Relationship Id="rId21" Type="http://schemas.openxmlformats.org/officeDocument/2006/relationships/calcChain" Target="calcChain.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customXml" Target="../customXml/item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customXml" Target="../customXml/item2.xml"/><Relationship Id="rId10" Type="http://schemas.openxmlformats.org/officeDocument/2006/relationships/externalLink" Target="externalLinks/externalLink9.xml"/><Relationship Id="rId19"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olarcraftpower.sharepoint.com/sites/Quality/Shared%20Documents/Site%20Report/Solar/A.%20Main%20files/QAQC_Jawalgera_KA%20C&amp;I_SC-25.xlsx" TargetMode="External"/><Relationship Id="rId1" Type="http://schemas.openxmlformats.org/officeDocument/2006/relationships/externalLinkPath" Target="https://solarcraftpower-my.sharepoint.com/personal/rashmi_blupineenergy_com/Documents/Documents/MRM_2025/QAQC_Jawalgera_KA%20C&amp;I_SC-2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kankshaKashyap/Downloads/QAQC_Bhopalgarh_RVUNL_SC%2015.xlsx" TargetMode="External"/><Relationship Id="rId2" Type="http://schemas.openxmlformats.org/officeDocument/2006/relationships/externalLinkPath" Target="https://solarcraftpower.sharepoint.com/sites/Quality/Shared%20Documents/Site%20Report/Solar/A.%20Main%20files/QAQC_Bhopalgarh_RVUNL_SC%2015.xlsx" TargetMode="External"/><Relationship Id="rId1" Type="http://schemas.openxmlformats.org/officeDocument/2006/relationships/externalLinkPath" Target="/Users/AkankshaKashyap/Downloads/QAQC_Bhopalgarh_RVUNL_SC%201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solarcraftpower.sharepoint.com/sites/Quality/Shared%20Documents/Site%20Report/Solar/A.%20Main%20files/QAQC_Tharad_GUVNL%2022_SC-5.xlsx" TargetMode="External"/><Relationship Id="rId1" Type="http://schemas.openxmlformats.org/officeDocument/2006/relationships/externalLinkPath" Target="https://solarcraftpower.sharepoint.com/sites/Quality/Shared%20Documents/Site%20Report/Solar/A.%20Main%20files/QAQC_Tharad_GUVNL%2022_SC-5.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AkankshaKashyap/Downloads/QAQC_Honnatti_SC-26.xlsx" TargetMode="External"/><Relationship Id="rId2" Type="http://schemas.openxmlformats.org/officeDocument/2006/relationships/externalLinkPath" Target="https://solarcraftpower.sharepoint.com/sites/Quality/Shared%20Documents/Site%20Report/Solar/A.%20Main%20files/QAQC_Honnatti_SC-26.xlsx" TargetMode="External"/><Relationship Id="rId1" Type="http://schemas.openxmlformats.org/officeDocument/2006/relationships/externalLinkPath" Target="/Users/AkankshaKashyap/Downloads/QAQC_Honnatti_SC-26.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solarcraftpower.sharepoint.com/sites/Quality/Shared%20Documents/Site%20Report/Wind/A.%20Main%20Files/QAQC_Aland_SJVN_SC16.xlsx" TargetMode="External"/><Relationship Id="rId1" Type="http://schemas.openxmlformats.org/officeDocument/2006/relationships/externalLinkPath" Target="https://solarcraftpower-my.sharepoint.com/sites/Quality/Shared%20Documents/Site%20Report/Wind/A.%20Main%20Files/QAQC_Aland_SJVN_SC16.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ankshaKashyap/Downloads/QAQC_Aland_120%20MW.xlsx" TargetMode="External"/><Relationship Id="rId2" Type="http://schemas.openxmlformats.org/officeDocument/2006/relationships/externalLinkPath" Target="https://solarcraftpower.sharepoint.com/sites/Quality/Shared%20Documents/Site%20Report/Solar/A.%20Main%20files/QAQC_Aland_120%20MW.xlsx" TargetMode="External"/><Relationship Id="rId1" Type="http://schemas.openxmlformats.org/officeDocument/2006/relationships/externalLinkPath" Target="/Users/AkankshaKashyap/Downloads/QAQC_Aland_120%20MW.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solarcraftpower.sharepoint.com/sites/Quality/Shared%20Documents/Site%20Report/Solar/A.%20Main%20files/QAQC_Aland_Bess.xlsx" TargetMode="External"/><Relationship Id="rId1" Type="http://schemas.openxmlformats.org/officeDocument/2006/relationships/externalLinkPath" Target="https://solarcraftpower-my.sharepoint.com/personal/rashmi_blupineenergy_com/Documents/Documents/MRM_2025/QAQC_Aland_Bess.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solarcraftpower.sharepoint.com/sites/Quality/Shared%20Documents/Site%20Report/Solar/A.%20Main%20files/QAQC_Pathmada_SC-5.xlsx" TargetMode="External"/><Relationship Id="rId1" Type="http://schemas.openxmlformats.org/officeDocument/2006/relationships/externalLinkPath" Target="https://solarcraftpower-my.sharepoint.com/personal/rashmi_blupineenergy_com/Documents/Documents/MRM_2025/QAQC_Pathmada_SC-5.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olarcraftpower.sharepoint.com/sites/Quality/Shared%20Documents/Site%20Report/Repowering%20Projects/QAQC_Byagwat.xlsx" TargetMode="External"/><Relationship Id="rId1" Type="http://schemas.openxmlformats.org/officeDocument/2006/relationships/externalLinkPath" Target="https://solarcraftpower-my.sharepoint.com/sites/Quality/Shared%20Documents/Site%20Report/Repowering%20Projects/QAQC_Byagwat.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solarcraftpower.sharepoint.com/sites/Quality/Shared%20Documents/Site%20Report/Repowering%20Projects/QAQC_Chittaguppa.xlsx" TargetMode="External"/><Relationship Id="rId1" Type="http://schemas.openxmlformats.org/officeDocument/2006/relationships/externalLinkPath" Target="https://solarcraftpower-my.sharepoint.com/sites/Quality/Shared%20Documents/Site%20Report/Repowering%20Projects/QAQC_Chittagupp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solarcraftpower.sharepoint.com/sites/Quality/Shared%20Documents/Site%20Report/Repowering%20Projects/QAQC_Halburga.xlsx" TargetMode="External"/><Relationship Id="rId1" Type="http://schemas.openxmlformats.org/officeDocument/2006/relationships/externalLinkPath" Target="https://solarcraftpower-my.sharepoint.com/sites/Quality/Shared%20Documents/Site%20Report/Repowering%20Projects/QAQC_Halburga.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solarcraftpower.sharepoint.com/sites/Quality/Shared%20Documents/Site%20Report/Repowering%20Projects/QAQC_Farahtabad.xlsx" TargetMode="External"/><Relationship Id="rId1" Type="http://schemas.openxmlformats.org/officeDocument/2006/relationships/externalLinkPath" Target="https://solarcraftpower-my.sharepoint.com/sites/Quality/Shared%20Documents/Site%20Report/Repowering%20Projects/QAQC_Farahtabad.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solarcraftpower.sharepoint.com/sites/Quality/Shared%20Documents/Site%20Report/Repowering%20Projects/QAQC_Tamil%20Nadu.xlsx" TargetMode="External"/><Relationship Id="rId1" Type="http://schemas.openxmlformats.org/officeDocument/2006/relationships/externalLinkPath" Target="https://solarcraftpower-my.sharepoint.com/sites/Quality/Shared%20Documents/Site%20Report/Repowering%20Projects/QAQC_Tamil%20Nadu.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solarcraftpower.sharepoint.com/sites/Quality/Shared%20Documents/Site%20Report/Repowering%20Projects/QAQC_MH50.xlsx" TargetMode="External"/><Relationship Id="rId1" Type="http://schemas.openxmlformats.org/officeDocument/2006/relationships/externalLinkPath" Target="https://solarcraftpower-my.sharepoint.com/sites/Quality/Shared%20Documents/Site%20Report/Repowering%20Projects/QAQC_MH50.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https://solarcraftpower.sharepoint.com/sites/Quality/Shared%20Documents/Site%20Report/Wind/A.%20Main%20Files/QAQC_Sagapara_GUVNL%205_SC-14.xlsx" TargetMode="External"/><Relationship Id="rId1" Type="http://schemas.openxmlformats.org/officeDocument/2006/relationships/externalLinkPath" Target="https://solarcraftpower-my.sharepoint.com/sites/Quality/Shared%20Documents/Site%20Report/Wind/A.%20Main%20Files/QAQC_Sagapara_GUVNL%205_SC-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VYX7GSQ7MBSJBIXEK4XL5DKNRV">
      <xxl21:absoluteUrl r:id="rId2"/>
    </xxl21:alternateUrls>
    <sheetNames>
      <sheetName val="Index"/>
      <sheetName val="RFI Solar Projects"/>
      <sheetName val="RFI Daily incidence "/>
      <sheetName val="FQA observations Report"/>
      <sheetName val="FQA Contractor Wise "/>
      <sheetName val="FQA week wise report"/>
      <sheetName val="Training record summary"/>
      <sheetName val="IMIR"/>
      <sheetName val="Training details"/>
      <sheetName val="Work Hindrance"/>
      <sheetName val="Sheet1"/>
      <sheetName val="Validations"/>
    </sheetNames>
    <sheetDataSet>
      <sheetData sheetId="0"/>
      <sheetData sheetId="1">
        <row r="102">
          <cell r="D102">
            <v>1080.4623328206244</v>
          </cell>
          <cell r="G102">
            <v>1072</v>
          </cell>
        </row>
      </sheetData>
      <sheetData sheetId="2"/>
      <sheetData sheetId="3">
        <row r="3">
          <cell r="N3">
            <v>32</v>
          </cell>
          <cell r="O3">
            <v>32</v>
          </cell>
        </row>
        <row r="4">
          <cell r="N4">
            <v>110</v>
          </cell>
          <cell r="O4">
            <v>108</v>
          </cell>
        </row>
        <row r="5">
          <cell r="N5">
            <v>72</v>
          </cell>
          <cell r="O5">
            <v>72</v>
          </cell>
        </row>
      </sheetData>
      <sheetData sheetId="4"/>
      <sheetData sheetId="5"/>
      <sheetData sheetId="6">
        <row r="2">
          <cell r="M2">
            <v>1306</v>
          </cell>
        </row>
      </sheetData>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TGENGTJB2JOVC3M35DRD5U3R7R">
      <xxl21:absoluteUrl r:id="rId2"/>
      <xxl21:relativeUrl r:id="rId3"/>
    </xxl21:alternateUrls>
    <sheetNames>
      <sheetName val="Index"/>
      <sheetName val="RFI Solar Projects"/>
      <sheetName val="RFI Daily incidence "/>
      <sheetName val="FQA observations Report"/>
      <sheetName val="FQA Contractor Wise "/>
      <sheetName val="FQA week wise report"/>
      <sheetName val="IMIR"/>
      <sheetName val="Training Details"/>
      <sheetName val="Work Hindrance"/>
      <sheetName val="Validations"/>
      <sheetName val="Training record summary"/>
      <sheetName val="Sheet1"/>
    </sheetNames>
    <sheetDataSet>
      <sheetData sheetId="0"/>
      <sheetData sheetId="1">
        <row r="113">
          <cell r="D113">
            <v>1775.865</v>
          </cell>
          <cell r="G113">
            <v>1768.2833333333333</v>
          </cell>
        </row>
      </sheetData>
      <sheetData sheetId="2"/>
      <sheetData sheetId="3">
        <row r="3">
          <cell r="N3">
            <v>26</v>
          </cell>
          <cell r="O3">
            <v>26</v>
          </cell>
        </row>
        <row r="4">
          <cell r="N4">
            <v>50</v>
          </cell>
          <cell r="O4">
            <v>48</v>
          </cell>
        </row>
        <row r="5">
          <cell r="N5">
            <v>19</v>
          </cell>
          <cell r="O5">
            <v>19</v>
          </cell>
        </row>
      </sheetData>
      <sheetData sheetId="4"/>
      <sheetData sheetId="5"/>
      <sheetData sheetId="6"/>
      <sheetData sheetId="7"/>
      <sheetData sheetId="8"/>
      <sheetData sheetId="9"/>
      <sheetData sheetId="10">
        <row r="2">
          <cell r="M2">
            <v>759</v>
          </cell>
        </row>
      </sheetData>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TALWKCZ3WRPJBYWJL4UIWQHS7Z">
      <xxl21:absoluteUrl r:id="rId2"/>
    </xxl21:alternateUrls>
    <sheetNames>
      <sheetName val="Index"/>
      <sheetName val="RFI Solar Projects"/>
      <sheetName val="RFI Solar Projects "/>
      <sheetName val="RFI Solar Projects New (52.5MW)"/>
      <sheetName val="RFI Solar Projects Block 4 ,5,6"/>
      <sheetName val="RFI Daily incidence "/>
      <sheetName val="FQA Contractor Wise "/>
      <sheetName val="FQA week wise report"/>
      <sheetName val="FQA observations Report"/>
      <sheetName val="IMIR"/>
      <sheetName val="Training record summary"/>
      <sheetName val="Work Hindrance"/>
      <sheetName val="Validations"/>
    </sheetNames>
    <sheetDataSet>
      <sheetData sheetId="0"/>
      <sheetData sheetId="1"/>
      <sheetData sheetId="2"/>
      <sheetData sheetId="3">
        <row r="108">
          <cell r="D108">
            <v>785.5</v>
          </cell>
        </row>
      </sheetData>
      <sheetData sheetId="4"/>
      <sheetData sheetId="5"/>
      <sheetData sheetId="6"/>
      <sheetData sheetId="7"/>
      <sheetData sheetId="8">
        <row r="3">
          <cell r="N3">
            <v>31</v>
          </cell>
          <cell r="O3">
            <v>28</v>
          </cell>
        </row>
        <row r="4">
          <cell r="N4">
            <v>182</v>
          </cell>
          <cell r="O4">
            <v>178</v>
          </cell>
        </row>
        <row r="5">
          <cell r="N5">
            <v>122</v>
          </cell>
          <cell r="O5">
            <v>122</v>
          </cell>
        </row>
      </sheetData>
      <sheetData sheetId="9"/>
      <sheetData sheetId="10">
        <row r="2">
          <cell r="M2">
            <v>1471</v>
          </cell>
        </row>
      </sheetData>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XBZED7OPI5OVBKWEGJFJ2NHW2Y">
      <xxl21:absoluteUrl r:id="rId2"/>
      <xxl21:relativeUrl r:id="rId3"/>
    </xxl21:alternateUrls>
    <sheetNames>
      <sheetName val="Index"/>
      <sheetName val="RFI Solar Projects"/>
      <sheetName val="FQA Contractor Wise "/>
      <sheetName val="FQA week wise report"/>
      <sheetName val="RFI Daily incidence "/>
      <sheetName val="FQA observations Report"/>
      <sheetName val="Training record summary"/>
      <sheetName val="IMIR"/>
      <sheetName val="Training details"/>
      <sheetName val="Work Hindrance"/>
      <sheetName val="Validations"/>
    </sheetNames>
    <sheetDataSet>
      <sheetData sheetId="0"/>
      <sheetData sheetId="1">
        <row r="107">
          <cell r="D107">
            <v>1053</v>
          </cell>
          <cell r="G107">
            <v>803.25</v>
          </cell>
        </row>
      </sheetData>
      <sheetData sheetId="2"/>
      <sheetData sheetId="3"/>
      <sheetData sheetId="4"/>
      <sheetData sheetId="5">
        <row r="3">
          <cell r="N3">
            <v>7</v>
          </cell>
          <cell r="O3">
            <v>6</v>
          </cell>
        </row>
        <row r="4">
          <cell r="N4">
            <v>25</v>
          </cell>
          <cell r="O4">
            <v>24</v>
          </cell>
        </row>
        <row r="5">
          <cell r="N5">
            <v>0</v>
          </cell>
          <cell r="O5">
            <v>0</v>
          </cell>
        </row>
      </sheetData>
      <sheetData sheetId="6">
        <row r="2">
          <cell r="M2">
            <v>960</v>
          </cell>
        </row>
      </sheetData>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QOKQY3JVQYT5BKBL4SAJBTBUM6">
      <xxl21:absoluteUrl r:id="rId2"/>
    </xxl21:alternateUrls>
    <sheetNames>
      <sheetName val="Index"/>
      <sheetName val="RFI Daily incidence "/>
      <sheetName val="RFI Wind "/>
      <sheetName val="FQA Contractor Wise "/>
      <sheetName val="FQA week wise report"/>
      <sheetName val="FQA observations Report"/>
      <sheetName val="IMIR"/>
      <sheetName val="Training Details"/>
      <sheetName val="Training record summary"/>
      <sheetName val="Work Hindrance"/>
      <sheetName val="Validations"/>
    </sheetNames>
    <sheetDataSet>
      <sheetData sheetId="0"/>
      <sheetData sheetId="1"/>
      <sheetData sheetId="2">
        <row r="1">
          <cell r="F1">
            <v>3200</v>
          </cell>
          <cell r="I1">
            <v>1472</v>
          </cell>
        </row>
      </sheetData>
      <sheetData sheetId="3"/>
      <sheetData sheetId="4"/>
      <sheetData sheetId="5">
        <row r="3">
          <cell r="O3">
            <v>9</v>
          </cell>
          <cell r="P3">
            <v>5</v>
          </cell>
        </row>
        <row r="4">
          <cell r="O4">
            <v>270</v>
          </cell>
          <cell r="P4">
            <v>239</v>
          </cell>
        </row>
        <row r="5">
          <cell r="O5">
            <v>3</v>
          </cell>
          <cell r="P5">
            <v>1</v>
          </cell>
        </row>
      </sheetData>
      <sheetData sheetId="6">
        <row r="2">
          <cell r="Q2">
            <v>128</v>
          </cell>
        </row>
      </sheetData>
      <sheetData sheetId="7"/>
      <sheetData sheetId="8">
        <row r="1">
          <cell r="M1">
            <v>1727</v>
          </cell>
        </row>
      </sheetData>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VNXRDLY4TFI5EZHARKBILJIHNJ">
      <xxl21:absoluteUrl r:id="rId2"/>
      <xxl21:relativeUrl r:id="rId3"/>
    </xxl21:alternateUrls>
    <sheetNames>
      <sheetName val="Index"/>
      <sheetName val="RFI Solar Projects"/>
      <sheetName val="FQA Contractor Wise "/>
      <sheetName val="FQA week wise report"/>
      <sheetName val="RFI Solar Projects new"/>
      <sheetName val="RFI Solar Projects BESS"/>
      <sheetName val="FQA observations Report"/>
      <sheetName val="RFI Daily incidence "/>
      <sheetName val="IMIR"/>
      <sheetName val="Training Details"/>
      <sheetName val="Training record summary"/>
      <sheetName val="Work Hindrance"/>
      <sheetName val="Validation"/>
      <sheetName val="Validations"/>
      <sheetName val="RFI BESS project"/>
      <sheetName val="RFI Solar Projects new (2)"/>
    </sheetNames>
    <sheetDataSet>
      <sheetData sheetId="0"/>
      <sheetData sheetId="1"/>
      <sheetData sheetId="2"/>
      <sheetData sheetId="3"/>
      <sheetData sheetId="4">
        <row r="137">
          <cell r="D137">
            <v>1716</v>
          </cell>
          <cell r="G137">
            <v>987.33571428571429</v>
          </cell>
        </row>
      </sheetData>
      <sheetData sheetId="5"/>
      <sheetData sheetId="6">
        <row r="3">
          <cell r="N3">
            <v>26</v>
          </cell>
        </row>
        <row r="4">
          <cell r="N4">
            <v>163</v>
          </cell>
          <cell r="O4">
            <v>152</v>
          </cell>
        </row>
        <row r="5">
          <cell r="N5">
            <v>41</v>
          </cell>
          <cell r="O5">
            <v>39</v>
          </cell>
        </row>
      </sheetData>
      <sheetData sheetId="7"/>
      <sheetData sheetId="8">
        <row r="8">
          <cell r="T8">
            <v>395</v>
          </cell>
        </row>
      </sheetData>
      <sheetData sheetId="9"/>
      <sheetData sheetId="10">
        <row r="2">
          <cell r="M2">
            <v>799</v>
          </cell>
        </row>
      </sheetData>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RYPL3GKFL5W5A2IHSJZ2WRX7P5">
      <xxl21:absoluteUrl r:id="rId2"/>
    </xxl21:alternateUrls>
    <sheetNames>
      <sheetName val="Index"/>
      <sheetName val="RFI Solar Projects"/>
      <sheetName val="FQA Contractor Wise "/>
      <sheetName val="FQA week wise report"/>
      <sheetName val="RFI Solar Projects BESS"/>
      <sheetName val="IMIR"/>
      <sheetName val="FQA observations Report"/>
      <sheetName val="Training Details"/>
      <sheetName val="Training record summary"/>
      <sheetName val="RFI Daily incidence "/>
      <sheetName val="Work Hindrance"/>
      <sheetName val="Validation"/>
      <sheetName val="Validations"/>
    </sheetNames>
    <sheetDataSet>
      <sheetData sheetId="0"/>
      <sheetData sheetId="1"/>
      <sheetData sheetId="2"/>
      <sheetData sheetId="3"/>
      <sheetData sheetId="4">
        <row r="128">
          <cell r="D128">
            <v>410.65999999999997</v>
          </cell>
          <cell r="G128">
            <v>69</v>
          </cell>
        </row>
      </sheetData>
      <sheetData sheetId="5"/>
      <sheetData sheetId="6">
        <row r="3">
          <cell r="N3">
            <v>0</v>
          </cell>
          <cell r="O3">
            <v>0</v>
          </cell>
        </row>
        <row r="4">
          <cell r="N4">
            <v>15</v>
          </cell>
          <cell r="O4">
            <v>14</v>
          </cell>
        </row>
        <row r="5">
          <cell r="N5">
            <v>5</v>
          </cell>
          <cell r="O5">
            <v>5</v>
          </cell>
        </row>
      </sheetData>
      <sheetData sheetId="7"/>
      <sheetData sheetId="8">
        <row r="2">
          <cell r="M2">
            <v>111</v>
          </cell>
        </row>
      </sheetData>
      <sheetData sheetId="9"/>
      <sheetData sheetId="10"/>
      <sheetData sheetId="1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TLPCEPD4O2EVALXRX4PBXUP2DK">
      <xxl21:absoluteUrl r:id="rId2"/>
    </xxl21:alternateUrls>
    <sheetNames>
      <sheetName val="Index"/>
      <sheetName val="RFI Solar Projects"/>
      <sheetName val="FQA Contractor Wise "/>
      <sheetName val="FQA week wise report"/>
      <sheetName val="RFI Daily incidence "/>
      <sheetName val="IMIR"/>
      <sheetName val="FQA observations Report"/>
      <sheetName val="Training record summary"/>
      <sheetName val="Validations"/>
      <sheetName val="Training details"/>
      <sheetName val="Work Hindrance"/>
      <sheetName val="Sheet1"/>
      <sheetName val="Sheet2"/>
    </sheetNames>
    <sheetDataSet>
      <sheetData sheetId="0"/>
      <sheetData sheetId="1">
        <row r="108">
          <cell r="D108">
            <v>678.38333333333333</v>
          </cell>
          <cell r="G108">
            <v>151</v>
          </cell>
        </row>
      </sheetData>
      <sheetData sheetId="2"/>
      <sheetData sheetId="3"/>
      <sheetData sheetId="4"/>
      <sheetData sheetId="5"/>
      <sheetData sheetId="6">
        <row r="3">
          <cell r="N3">
            <v>0</v>
          </cell>
          <cell r="O3">
            <v>0</v>
          </cell>
        </row>
        <row r="4">
          <cell r="N4">
            <v>33</v>
          </cell>
          <cell r="O4">
            <v>33</v>
          </cell>
        </row>
        <row r="5">
          <cell r="N5">
            <v>15</v>
          </cell>
          <cell r="O5">
            <v>15</v>
          </cell>
        </row>
      </sheetData>
      <sheetData sheetId="7">
        <row r="2">
          <cell r="M2">
            <v>227</v>
          </cell>
        </row>
      </sheetData>
      <sheetData sheetId="8"/>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V3BZMGUX7HAZEI5VBWP4RGCFJT">
      <xxl21:absoluteUrl r:id="rId2"/>
    </xxl21:alternateUrls>
    <sheetNames>
      <sheetName val="Index"/>
      <sheetName val="RFI Solar Projects"/>
      <sheetName val="FQA Contractor Wise "/>
      <sheetName val="FQA week wise report"/>
      <sheetName val="RFI Daily incidence "/>
      <sheetName val="FQA observations Report"/>
      <sheetName val="Training record summary"/>
      <sheetName val="Training deatail"/>
      <sheetName val="IMIR"/>
      <sheetName val="Work Hindrance"/>
      <sheetName val="Sheet1"/>
      <sheetName val="Validations"/>
    </sheetNames>
    <sheetDataSet>
      <sheetData sheetId="0"/>
      <sheetData sheetId="1">
        <row r="61">
          <cell r="D61">
            <v>124.6</v>
          </cell>
          <cell r="G61">
            <v>17</v>
          </cell>
        </row>
      </sheetData>
      <sheetData sheetId="2"/>
      <sheetData sheetId="3"/>
      <sheetData sheetId="4"/>
      <sheetData sheetId="5">
        <row r="3">
          <cell r="M3">
            <v>1</v>
          </cell>
        </row>
        <row r="4">
          <cell r="M4">
            <v>4</v>
          </cell>
          <cell r="N4">
            <v>3</v>
          </cell>
        </row>
        <row r="5">
          <cell r="N5">
            <v>0</v>
          </cell>
          <cell r="O5">
            <v>0</v>
          </cell>
        </row>
      </sheetData>
      <sheetData sheetId="6">
        <row r="2">
          <cell r="M2">
            <v>20</v>
          </cell>
        </row>
      </sheetData>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WKMM4PI55MVBELC6OLUF2AFQN4">
      <xxl21:absoluteUrl r:id="rId2"/>
    </xxl21:alternateUrls>
    <sheetNames>
      <sheetName val="Index"/>
      <sheetName val="RFI Solar Projects"/>
      <sheetName val="FQA Contractor Wise "/>
      <sheetName val="FQA week wise report"/>
      <sheetName val="RFI Daily incidence "/>
      <sheetName val="FQA observations Report"/>
      <sheetName val="IMIR"/>
      <sheetName val="Training record summary"/>
      <sheetName val="Training detail"/>
      <sheetName val="Work Hindrance"/>
      <sheetName val="Validations"/>
      <sheetName val="Sheet1"/>
      <sheetName val="Sheet2"/>
    </sheetNames>
    <sheetDataSet>
      <sheetData sheetId="0"/>
      <sheetData sheetId="1">
        <row r="62">
          <cell r="D62">
            <v>126</v>
          </cell>
          <cell r="G62">
            <v>34</v>
          </cell>
        </row>
      </sheetData>
      <sheetData sheetId="2"/>
      <sheetData sheetId="3"/>
      <sheetData sheetId="4"/>
      <sheetData sheetId="5">
        <row r="3">
          <cell r="M3">
            <v>1</v>
          </cell>
          <cell r="N3">
            <v>0</v>
          </cell>
        </row>
        <row r="4">
          <cell r="M4">
            <v>13</v>
          </cell>
          <cell r="N4">
            <v>11</v>
          </cell>
        </row>
        <row r="5">
          <cell r="N5">
            <v>0</v>
          </cell>
          <cell r="O5">
            <v>0</v>
          </cell>
        </row>
      </sheetData>
      <sheetData sheetId="6"/>
      <sheetData sheetId="7">
        <row r="2">
          <cell r="M2">
            <v>146</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TMPBJCXKVZNZDYBEYPYRSAUJA6">
      <xxl21:absoluteUrl r:id="rId2"/>
    </xxl21:alternateUrls>
    <sheetNames>
      <sheetName val="Index"/>
      <sheetName val="RFI Solar Projects"/>
      <sheetName val="FQA Contractor Wise "/>
      <sheetName val="FQA week wise report"/>
      <sheetName val="RFI Daily incidence "/>
      <sheetName val="FQA observations Report"/>
      <sheetName val="Training record summary"/>
      <sheetName val="Training detail"/>
      <sheetName val="IMIR"/>
      <sheetName val="Work Hindrance"/>
      <sheetName val="Validations"/>
      <sheetName val="Val"/>
    </sheetNames>
    <sheetDataSet>
      <sheetData sheetId="0"/>
      <sheetData sheetId="1">
        <row r="62">
          <cell r="D62">
            <v>128</v>
          </cell>
          <cell r="G62">
            <v>26</v>
          </cell>
        </row>
      </sheetData>
      <sheetData sheetId="2"/>
      <sheetData sheetId="3"/>
      <sheetData sheetId="4"/>
      <sheetData sheetId="5">
        <row r="3">
          <cell r="N3">
            <v>0</v>
          </cell>
          <cell r="O3">
            <v>0</v>
          </cell>
        </row>
        <row r="4">
          <cell r="N4">
            <v>6</v>
          </cell>
          <cell r="O4">
            <v>3</v>
          </cell>
        </row>
        <row r="5">
          <cell r="N5">
            <v>0</v>
          </cell>
          <cell r="O5">
            <v>0</v>
          </cell>
        </row>
      </sheetData>
      <sheetData sheetId="6">
        <row r="2">
          <cell r="M2">
            <v>72</v>
          </cell>
        </row>
      </sheetData>
      <sheetData sheetId="7"/>
      <sheetData sheetId="8"/>
      <sheetData sheetId="9"/>
      <sheetData sheetId="10"/>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TF2GXQEE4NMFFITLOLFNDTVAW5">
      <xxl21:absoluteUrl r:id="rId2"/>
    </xxl21:alternateUrls>
    <sheetNames>
      <sheetName val="Index"/>
      <sheetName val="RFI Solar Projects"/>
      <sheetName val="FQA Contractor Wise "/>
      <sheetName val="FQA week wise report"/>
      <sheetName val="RFI Daily incidence "/>
      <sheetName val="FQA observations Report"/>
      <sheetName val="IMIR"/>
      <sheetName val="Training record summary"/>
      <sheetName val="Training detail"/>
      <sheetName val="Work Hindrance"/>
      <sheetName val="Validation"/>
      <sheetName val="Validations"/>
    </sheetNames>
    <sheetDataSet>
      <sheetData sheetId="0"/>
      <sheetData sheetId="1">
        <row r="62">
          <cell r="D62">
            <v>118</v>
          </cell>
          <cell r="G62">
            <v>18</v>
          </cell>
        </row>
      </sheetData>
      <sheetData sheetId="2"/>
      <sheetData sheetId="3"/>
      <sheetData sheetId="4"/>
      <sheetData sheetId="5">
        <row r="3">
          <cell r="N3">
            <v>0</v>
          </cell>
          <cell r="O3">
            <v>0</v>
          </cell>
        </row>
        <row r="4">
          <cell r="M4">
            <v>8</v>
          </cell>
          <cell r="N4">
            <v>6</v>
          </cell>
        </row>
        <row r="5">
          <cell r="N5">
            <v>0</v>
          </cell>
          <cell r="O5">
            <v>0</v>
          </cell>
        </row>
      </sheetData>
      <sheetData sheetId="6"/>
      <sheetData sheetId="7">
        <row r="2">
          <cell r="M2">
            <v>53</v>
          </cell>
        </row>
      </sheetData>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XTDBYEHU23SRC2KS5627MLOQXB">
      <xxl21:absoluteUrl r:id="rId2"/>
    </xxl21:alternateUrls>
    <sheetNames>
      <sheetName val="Index"/>
      <sheetName val="RFI Solar Projects"/>
      <sheetName val="FQA Contractor Wise "/>
      <sheetName val="FQA week wise report"/>
      <sheetName val="RFI Daily incidence "/>
      <sheetName val="FQA observations Report"/>
      <sheetName val="IMIR"/>
      <sheetName val="Training detail"/>
      <sheetName val="Training record summary"/>
      <sheetName val="Work Hindrance"/>
      <sheetName val="VAL"/>
      <sheetName val="Validations"/>
    </sheetNames>
    <sheetDataSet>
      <sheetData sheetId="0"/>
      <sheetData sheetId="1">
        <row r="64">
          <cell r="D64">
            <v>144.4</v>
          </cell>
          <cell r="G64">
            <v>0</v>
          </cell>
        </row>
      </sheetData>
      <sheetData sheetId="2"/>
      <sheetData sheetId="3"/>
      <sheetData sheetId="4"/>
      <sheetData sheetId="5">
        <row r="3">
          <cell r="N3">
            <v>1</v>
          </cell>
          <cell r="O3">
            <v>0</v>
          </cell>
        </row>
        <row r="4">
          <cell r="N4">
            <v>7</v>
          </cell>
          <cell r="O4">
            <v>0</v>
          </cell>
        </row>
        <row r="5">
          <cell r="N5">
            <v>3</v>
          </cell>
          <cell r="O5">
            <v>2</v>
          </cell>
        </row>
      </sheetData>
      <sheetData sheetId="6"/>
      <sheetData sheetId="7"/>
      <sheetData sheetId="8"/>
      <sheetData sheetId="9"/>
      <sheetData sheetId="10"/>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UWSNTJF4HNEZG3RXAQBK5TLCST">
      <xxl21:absoluteUrl r:id="rId2"/>
    </xxl21:alternateUrls>
    <sheetNames>
      <sheetName val="Index"/>
      <sheetName val="RFI Solar Projects"/>
      <sheetName val="FQA Contractor Wise "/>
      <sheetName val="FQA week wise report"/>
      <sheetName val="IMIR"/>
      <sheetName val="Training record summary"/>
      <sheetName val="Training detail"/>
      <sheetName val="FQA observations Report"/>
      <sheetName val="Work Hindrance"/>
      <sheetName val="Validations"/>
      <sheetName val="Sheet1"/>
      <sheetName val="RFI Daily incidence "/>
    </sheetNames>
    <sheetDataSet>
      <sheetData sheetId="0"/>
      <sheetData sheetId="1">
        <row r="58">
          <cell r="D58">
            <v>192.67499999999998</v>
          </cell>
          <cell r="G58">
            <v>42</v>
          </cell>
        </row>
      </sheetData>
      <sheetData sheetId="2"/>
      <sheetData sheetId="3"/>
      <sheetData sheetId="4"/>
      <sheetData sheetId="5">
        <row r="2">
          <cell r="M2">
            <v>158</v>
          </cell>
        </row>
      </sheetData>
      <sheetData sheetId="6"/>
      <sheetData sheetId="7">
        <row r="3">
          <cell r="N3">
            <v>0</v>
          </cell>
          <cell r="O3">
            <v>0</v>
          </cell>
        </row>
        <row r="4">
          <cell r="M4">
            <v>15</v>
          </cell>
          <cell r="N4">
            <v>14</v>
          </cell>
        </row>
        <row r="5">
          <cell r="M5">
            <v>4</v>
          </cell>
          <cell r="N5">
            <v>4</v>
          </cell>
        </row>
      </sheetData>
      <sheetData sheetId="8"/>
      <sheetData sheetId="9"/>
      <sheetData sheetId="10"/>
      <sheetData sheetId="1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bAf8HSfcUeRaHwwXADk-2vWERq5VXZNsak04D-UIIVHgt-VAVQuQIlG2xfMmx1Q" itemId="01467T3KTZ3AL6OXMAWJGZZFNEWKABNH7M">
      <xxl21:absoluteUrl r:id="rId2"/>
    </xxl21:alternateUrls>
    <sheetNames>
      <sheetName val="Index"/>
      <sheetName val="RFI Wind Sagapara"/>
      <sheetName val="RFI Daily incidence "/>
      <sheetName val="FQA Contractor Wise "/>
      <sheetName val="FQA week wise report"/>
      <sheetName val="FQA observations Report"/>
      <sheetName val="IMIR"/>
      <sheetName val="Training record summary"/>
      <sheetName val="Training Details"/>
      <sheetName val="Work Hindrance"/>
      <sheetName val="Validations"/>
    </sheetNames>
    <sheetDataSet>
      <sheetData sheetId="0"/>
      <sheetData sheetId="1">
        <row r="1">
          <cell r="D1">
            <v>802</v>
          </cell>
        </row>
      </sheetData>
      <sheetData sheetId="2"/>
      <sheetData sheetId="3"/>
      <sheetData sheetId="4"/>
      <sheetData sheetId="5"/>
      <sheetData sheetId="6"/>
      <sheetData sheetId="7"/>
      <sheetData sheetId="8"/>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Akanksha Kashyap [CO]" id="{9A60C1FC-FACC-4A0B-A715-72395A15B8C8}" userId="S::akankshakashyap.co@blupineenergy.com::4c82e45a-8a2d-423f-a345-1efdb3cf204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7" dT="2025-06-23T07:59:45.60" personId="{9A60C1FC-FACC-4A0B-A715-72395A15B8C8}" id="{D6C61E0B-DEF6-4342-A61A-F9CCEC93FE61}">
    <text xml:space="preserve">(2142+22)/3457*100=62.3% WHICH IS FURTHER DIVIDED BY 2= 31.2
</text>
  </threadedComment>
  <threadedComment ref="K7" dT="2025-09-15T08:38:59.70" personId="{9A60C1FC-FACC-4A0B-A715-72395A15B8C8}" id="{30EB194D-D8A9-4894-8264-DE967D58CA6C}">
    <text xml:space="preserve">(215+1)/217*100=99%
</text>
  </threadedComment>
  <threadedComment ref="K7" dT="2025-09-22T08:40:57.82" personId="{9A60C1FC-FACC-4A0B-A715-72395A15B8C8}" id="{979299D3-43D0-432C-BB62-150325C69BC7}" parentId="{30EB194D-D8A9-4894-8264-DE967D58CA6C}">
    <text xml:space="preserve">(196+3)/2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53CBA-F98F-4470-90FB-C994C8810114}">
  <dimension ref="A1:U42"/>
  <sheetViews>
    <sheetView tabSelected="1" topLeftCell="F1" zoomScale="70" zoomScaleNormal="70" workbookViewId="0">
      <selection activeCell="L36" sqref="L36"/>
    </sheetView>
  </sheetViews>
  <sheetFormatPr defaultColWidth="9.1796875" defaultRowHeight="21" x14ac:dyDescent="0.5"/>
  <cols>
    <col min="2" max="2" width="65.26953125" customWidth="1"/>
    <col min="3" max="3" width="11.1796875" customWidth="1"/>
    <col min="4" max="4" width="74.26953125" customWidth="1"/>
    <col min="5" max="5" width="33.81640625" style="50" customWidth="1"/>
    <col min="6" max="6" width="36.1796875" style="50" customWidth="1"/>
    <col min="7" max="7" width="31.7265625" style="50" customWidth="1"/>
    <col min="8" max="8" width="34.81640625" style="50" customWidth="1"/>
    <col min="9" max="9" width="39" style="51" customWidth="1"/>
    <col min="10" max="10" width="34.26953125" style="50" customWidth="1"/>
    <col min="11" max="11" width="32.453125" style="50" customWidth="1"/>
    <col min="12" max="12" width="32.7265625" style="52" customWidth="1"/>
    <col min="13" max="13" width="32.7265625" style="50" customWidth="1"/>
    <col min="14" max="14" width="34.26953125" customWidth="1"/>
    <col min="15" max="15" width="28" customWidth="1"/>
    <col min="16" max="16" width="22.81640625" customWidth="1"/>
    <col min="17" max="17" width="22.54296875" customWidth="1"/>
    <col min="18" max="18" width="24" customWidth="1"/>
    <col min="19" max="19" width="22.54296875" customWidth="1"/>
    <col min="20" max="20" width="29.7265625" customWidth="1"/>
    <col min="21" max="21" width="43.1796875" customWidth="1"/>
  </cols>
  <sheetData>
    <row r="1" spans="1:20" x14ac:dyDescent="0.5">
      <c r="E1" s="1"/>
      <c r="F1" s="1"/>
      <c r="G1" s="1"/>
      <c r="H1" s="1"/>
      <c r="I1" s="2"/>
      <c r="J1" s="1"/>
      <c r="K1" s="1"/>
      <c r="L1" s="3"/>
      <c r="M1" s="1"/>
      <c r="N1" s="4"/>
      <c r="O1" s="4"/>
      <c r="P1" s="4"/>
      <c r="Q1" s="4"/>
      <c r="R1" s="4"/>
      <c r="S1" s="4"/>
      <c r="T1" s="4"/>
    </row>
    <row r="2" spans="1:20" x14ac:dyDescent="0.5">
      <c r="A2" s="5" t="s">
        <v>0</v>
      </c>
      <c r="B2" s="6" t="s">
        <v>1</v>
      </c>
      <c r="C2" s="6" t="s">
        <v>2</v>
      </c>
      <c r="D2" s="6" t="s">
        <v>3</v>
      </c>
      <c r="E2" s="7" t="s">
        <v>4</v>
      </c>
      <c r="F2" s="7" t="s">
        <v>5</v>
      </c>
      <c r="G2" s="8" t="s">
        <v>6</v>
      </c>
      <c r="H2" s="7" t="s">
        <v>7</v>
      </c>
      <c r="I2" s="9" t="s">
        <v>8</v>
      </c>
      <c r="J2" s="10" t="s">
        <v>9</v>
      </c>
      <c r="K2" s="11" t="s">
        <v>10</v>
      </c>
      <c r="L2" s="12" t="s">
        <v>11</v>
      </c>
      <c r="M2" s="13" t="s">
        <v>12</v>
      </c>
      <c r="N2" s="14" t="s">
        <v>13</v>
      </c>
      <c r="O2" s="14" t="s">
        <v>14</v>
      </c>
      <c r="P2" s="14" t="s">
        <v>15</v>
      </c>
      <c r="Q2" s="14" t="s">
        <v>16</v>
      </c>
      <c r="R2" s="14" t="s">
        <v>17</v>
      </c>
      <c r="S2" s="14" t="s">
        <v>18</v>
      </c>
      <c r="T2" s="14" t="s">
        <v>19</v>
      </c>
    </row>
    <row r="3" spans="1:20" x14ac:dyDescent="0.5">
      <c r="A3" s="15">
        <v>1</v>
      </c>
      <c r="B3" s="15" t="s">
        <v>20</v>
      </c>
      <c r="C3" s="16">
        <v>0.1</v>
      </c>
      <c r="D3" s="17" t="s">
        <v>21</v>
      </c>
      <c r="E3" s="18">
        <v>1</v>
      </c>
      <c r="F3" s="18">
        <v>1</v>
      </c>
      <c r="G3" s="18">
        <v>1</v>
      </c>
      <c r="H3" s="19">
        <v>1</v>
      </c>
      <c r="I3" s="20">
        <v>1</v>
      </c>
      <c r="J3" s="21">
        <v>1</v>
      </c>
      <c r="K3" s="21">
        <v>1</v>
      </c>
      <c r="L3" s="22">
        <v>1</v>
      </c>
      <c r="M3" s="22">
        <v>1</v>
      </c>
      <c r="N3" s="22">
        <v>1</v>
      </c>
      <c r="O3" s="22">
        <v>1</v>
      </c>
      <c r="P3" s="22">
        <v>1</v>
      </c>
      <c r="Q3" s="22">
        <v>1</v>
      </c>
      <c r="R3" s="22">
        <v>1</v>
      </c>
      <c r="S3" s="22">
        <v>1</v>
      </c>
      <c r="T3" s="22">
        <v>1</v>
      </c>
    </row>
    <row r="4" spans="1:20" x14ac:dyDescent="0.5">
      <c r="A4" s="23">
        <v>2</v>
      </c>
      <c r="B4" s="23" t="s">
        <v>22</v>
      </c>
      <c r="C4" s="24">
        <v>0.1</v>
      </c>
      <c r="D4" s="25" t="s">
        <v>23</v>
      </c>
      <c r="E4" s="26">
        <v>1</v>
      </c>
      <c r="F4" s="26">
        <v>1</v>
      </c>
      <c r="G4" s="26">
        <v>1</v>
      </c>
      <c r="H4" s="27">
        <v>1</v>
      </c>
      <c r="I4" s="22">
        <v>1</v>
      </c>
      <c r="J4" s="28">
        <v>1</v>
      </c>
      <c r="K4" s="21">
        <v>1</v>
      </c>
      <c r="L4" s="22">
        <v>1</v>
      </c>
      <c r="M4" s="22">
        <v>1</v>
      </c>
      <c r="N4" s="22">
        <v>1</v>
      </c>
      <c r="O4" s="22">
        <v>1</v>
      </c>
      <c r="P4" s="22">
        <v>1</v>
      </c>
      <c r="Q4" s="22">
        <v>1</v>
      </c>
      <c r="R4" s="22">
        <v>1</v>
      </c>
      <c r="S4" s="22">
        <v>1</v>
      </c>
      <c r="T4" s="22">
        <v>1</v>
      </c>
    </row>
    <row r="5" spans="1:20" s="32" customFormat="1" ht="23.25" customHeight="1" x14ac:dyDescent="0.5">
      <c r="A5" s="29">
        <v>3</v>
      </c>
      <c r="B5" s="29" t="s">
        <v>24</v>
      </c>
      <c r="C5" s="30">
        <v>0.25</v>
      </c>
      <c r="D5" s="29" t="s">
        <v>25</v>
      </c>
      <c r="E5" s="18">
        <f>$E$23</f>
        <v>0.9927272727272729</v>
      </c>
      <c r="F5" s="18">
        <f>$F$23</f>
        <v>0.5411282714751624</v>
      </c>
      <c r="G5" s="20">
        <f>$G$23</f>
        <v>1</v>
      </c>
      <c r="H5" s="18">
        <f>$H$23</f>
        <v>0.98399999999999999</v>
      </c>
      <c r="I5" s="18">
        <f>$I$23</f>
        <v>0.9524991137894363</v>
      </c>
      <c r="J5" s="31">
        <f>$J$23</f>
        <v>0.92685714285714282</v>
      </c>
      <c r="K5" s="31">
        <f>$K$23</f>
        <v>0.64296296296296296</v>
      </c>
      <c r="L5" s="22">
        <f>$L$23</f>
        <v>0.90171157586988815</v>
      </c>
      <c r="M5" s="22">
        <f>$M$23</f>
        <v>0.94666666666666677</v>
      </c>
      <c r="N5" s="22">
        <f>$N$23</f>
        <v>1</v>
      </c>
      <c r="O5" s="22">
        <f>$O$23</f>
        <v>0.90000000000000013</v>
      </c>
      <c r="P5" s="22">
        <f>$P$23</f>
        <v>0.53846153846153855</v>
      </c>
      <c r="Q5" s="22">
        <f>$Q$23</f>
        <v>0.60000000000000009</v>
      </c>
      <c r="R5" s="22">
        <f>$R$23</f>
        <v>0.8</v>
      </c>
      <c r="S5" s="22">
        <f>$S$23</f>
        <v>0.13333333333333333</v>
      </c>
      <c r="T5" s="22">
        <f>T23</f>
        <v>0.94666666666666677</v>
      </c>
    </row>
    <row r="6" spans="1:20" s="32" customFormat="1" x14ac:dyDescent="0.5">
      <c r="A6" s="29">
        <v>4</v>
      </c>
      <c r="B6" s="29" t="s">
        <v>26</v>
      </c>
      <c r="C6" s="30">
        <v>0.2</v>
      </c>
      <c r="D6" s="29" t="s">
        <v>27</v>
      </c>
      <c r="E6" s="18">
        <f>$E$28</f>
        <v>0.99216785947684738</v>
      </c>
      <c r="F6" s="20">
        <v>0</v>
      </c>
      <c r="G6" s="18">
        <f>$G$28</f>
        <v>1</v>
      </c>
      <c r="H6" s="18">
        <f>$H$28</f>
        <v>0.99573071902049615</v>
      </c>
      <c r="I6" s="22">
        <f>$I$28</f>
        <v>0.88308115543328747</v>
      </c>
      <c r="J6" s="31">
        <f>$J$28</f>
        <v>1</v>
      </c>
      <c r="K6" s="31">
        <f>$K$28</f>
        <v>0.84162378502001145</v>
      </c>
      <c r="L6" s="22">
        <f>$L$28</f>
        <v>0.74968543225946416</v>
      </c>
      <c r="M6" s="22">
        <f>$M$28</f>
        <v>0.42592592592592593</v>
      </c>
      <c r="N6" s="22">
        <f>$N$28</f>
        <v>0.72946859903381644</v>
      </c>
      <c r="O6" s="22">
        <f>$O$28</f>
        <v>0.13643659711075443</v>
      </c>
      <c r="P6" s="22">
        <f>$P$28</f>
        <v>0.26984126984126983</v>
      </c>
      <c r="Q6" s="22">
        <f>$Q$28</f>
        <v>0.203125</v>
      </c>
      <c r="R6" s="22">
        <f>$R$28</f>
        <v>0.15254237288135594</v>
      </c>
      <c r="S6" s="22">
        <f>$S$28</f>
        <v>0</v>
      </c>
      <c r="T6" s="22">
        <f>$T$28</f>
        <v>0.21798365122615806</v>
      </c>
    </row>
    <row r="7" spans="1:20" s="32" customFormat="1" x14ac:dyDescent="0.5">
      <c r="A7" s="29">
        <v>5</v>
      </c>
      <c r="B7" s="29" t="s">
        <v>28</v>
      </c>
      <c r="C7" s="30">
        <v>2.5000000000000001E-2</v>
      </c>
      <c r="D7" s="29" t="s">
        <v>29</v>
      </c>
      <c r="E7" s="33">
        <f>-(E19+E21)/200</f>
        <v>-0.71</v>
      </c>
      <c r="F7" s="18">
        <v>-0.31</v>
      </c>
      <c r="G7" s="33">
        <f>-(G19+G21)/200</f>
        <v>-0.21</v>
      </c>
      <c r="H7" s="33">
        <f>-(H19+H21)/200</f>
        <v>-0.38</v>
      </c>
      <c r="I7" s="33">
        <f>-(I19+I21)/200</f>
        <v>-1.0649999999999999</v>
      </c>
      <c r="J7" s="31">
        <f t="shared" ref="J7:L7" si="0">-(J19+J21)/200</f>
        <v>-0.16</v>
      </c>
      <c r="K7" s="31">
        <f t="shared" si="0"/>
        <v>-1.395</v>
      </c>
      <c r="L7" s="22">
        <f t="shared" si="0"/>
        <v>-0.94499999999999995</v>
      </c>
      <c r="M7" s="22">
        <f>-(M19+M21)/200</f>
        <v>-7.4999999999999997E-2</v>
      </c>
      <c r="N7" s="22">
        <f>-(N19+N21)/200</f>
        <v>-0.16500000000000001</v>
      </c>
      <c r="O7" s="22">
        <f t="shared" ref="O7:R7" si="1">-(O19+O21)/200</f>
        <v>-2.5000000000000001E-2</v>
      </c>
      <c r="P7" s="22">
        <f t="shared" si="1"/>
        <v>-7.0000000000000007E-2</v>
      </c>
      <c r="Q7" s="22">
        <f t="shared" si="1"/>
        <v>-0.03</v>
      </c>
      <c r="R7" s="22">
        <f t="shared" si="1"/>
        <v>-0.04</v>
      </c>
      <c r="S7" s="22">
        <f>-(S19+S21)/200</f>
        <v>-0.04</v>
      </c>
      <c r="T7" s="22">
        <f>-(T19+T21)/200</f>
        <v>-7.4999999999999997E-2</v>
      </c>
    </row>
    <row r="8" spans="1:20" s="32" customFormat="1" x14ac:dyDescent="0.5">
      <c r="A8" s="29">
        <v>6</v>
      </c>
      <c r="B8" s="29" t="s">
        <v>30</v>
      </c>
      <c r="C8" s="30">
        <v>2.5000000000000001E-2</v>
      </c>
      <c r="D8" s="29" t="s">
        <v>31</v>
      </c>
      <c r="E8" s="31">
        <f>(E20+E22)/200</f>
        <v>0.7</v>
      </c>
      <c r="F8" s="31">
        <v>7.6799999999999993E-2</v>
      </c>
      <c r="G8" s="31">
        <f t="shared" ref="G8:S8" si="2">(G20+G22)/200</f>
        <v>0.21</v>
      </c>
      <c r="H8" s="31">
        <f t="shared" si="2"/>
        <v>0.37</v>
      </c>
      <c r="I8" s="31">
        <f t="shared" si="2"/>
        <v>1.03</v>
      </c>
      <c r="J8" s="31">
        <f t="shared" si="2"/>
        <v>0.15</v>
      </c>
      <c r="K8" s="31">
        <f t="shared" si="2"/>
        <v>1.22</v>
      </c>
      <c r="L8" s="22">
        <f t="shared" si="2"/>
        <v>0.87</v>
      </c>
      <c r="M8" s="22">
        <f t="shared" si="2"/>
        <v>7.0000000000000007E-2</v>
      </c>
      <c r="N8" s="22">
        <f t="shared" si="2"/>
        <v>0.16500000000000001</v>
      </c>
      <c r="O8" s="22">
        <f t="shared" si="2"/>
        <v>0.02</v>
      </c>
      <c r="P8" s="22">
        <f t="shared" si="2"/>
        <v>5.5E-2</v>
      </c>
      <c r="Q8" s="22">
        <f t="shared" si="2"/>
        <v>1.4999999999999999E-2</v>
      </c>
      <c r="R8" s="22">
        <f t="shared" si="2"/>
        <v>0.03</v>
      </c>
      <c r="S8" s="22">
        <f t="shared" si="2"/>
        <v>0</v>
      </c>
      <c r="T8" s="22">
        <f>(T20+T22)/200</f>
        <v>7.0000000000000007E-2</v>
      </c>
    </row>
    <row r="9" spans="1:20" s="32" customFormat="1" x14ac:dyDescent="0.5">
      <c r="A9" s="29">
        <v>7</v>
      </c>
      <c r="B9" s="29" t="s">
        <v>32</v>
      </c>
      <c r="C9" s="30">
        <v>0.1</v>
      </c>
      <c r="D9" s="29" t="s">
        <v>33</v>
      </c>
      <c r="E9" s="34">
        <f>$E$34</f>
        <v>1</v>
      </c>
      <c r="F9" s="18">
        <v>0</v>
      </c>
      <c r="G9" s="18">
        <f>$G$34</f>
        <v>1</v>
      </c>
      <c r="H9" s="33">
        <f>$H$34</f>
        <v>1</v>
      </c>
      <c r="I9" s="22">
        <f>$I$34</f>
        <v>1</v>
      </c>
      <c r="J9" s="21">
        <f>$J$34</f>
        <v>1</v>
      </c>
      <c r="K9" s="21">
        <f>$K$34</f>
        <v>0.54545454545454541</v>
      </c>
      <c r="L9" s="22">
        <f>$L$34</f>
        <v>1</v>
      </c>
      <c r="M9" s="22">
        <f>$L$34</f>
        <v>1</v>
      </c>
      <c r="N9" s="22">
        <f>$N$34</f>
        <v>1</v>
      </c>
      <c r="O9" s="22">
        <v>0</v>
      </c>
      <c r="P9" s="22">
        <v>0</v>
      </c>
      <c r="Q9" s="22">
        <v>0</v>
      </c>
      <c r="R9" s="22">
        <v>0</v>
      </c>
      <c r="S9" s="22">
        <f>$S$34</f>
        <v>0</v>
      </c>
      <c r="T9" s="22">
        <f>$S$34</f>
        <v>0</v>
      </c>
    </row>
    <row r="10" spans="1:20" ht="64.5" customHeight="1" x14ac:dyDescent="0.5">
      <c r="A10" s="35">
        <v>8</v>
      </c>
      <c r="B10" s="35" t="s">
        <v>34</v>
      </c>
      <c r="C10" s="36">
        <v>0.05</v>
      </c>
      <c r="D10" s="37" t="s">
        <v>35</v>
      </c>
      <c r="E10" s="38" t="str">
        <f>IF(E38=0,"100%",IF(E38=1,"80%",IF(E38=2,"60%",IF(E38=3,"40%"))))</f>
        <v>100%</v>
      </c>
      <c r="F10" s="38" t="str">
        <f t="shared" ref="F10:K10" si="3">IF(F38=0,"100%",IF(F38=1,"80%",IF(F38=2,"60%",IF(F38=3,"40%"))))</f>
        <v>100%</v>
      </c>
      <c r="G10" s="38" t="str">
        <f t="shared" si="3"/>
        <v>100%</v>
      </c>
      <c r="H10" s="38" t="str">
        <f t="shared" si="3"/>
        <v>100%</v>
      </c>
      <c r="I10" s="38" t="str">
        <f t="shared" si="3"/>
        <v>100%</v>
      </c>
      <c r="J10" s="39" t="str">
        <f t="shared" si="3"/>
        <v>80%</v>
      </c>
      <c r="K10" s="40" t="str">
        <f t="shared" si="3"/>
        <v>100%</v>
      </c>
      <c r="L10" s="20" t="str">
        <f>IF(L38=0,"100%",IF(L38=1,"80%",IF(L38=2,"60%",IF(L38=3,"40%",IF(L38=4,"20%")))))</f>
        <v>20%</v>
      </c>
      <c r="M10" s="20" t="str">
        <f>IF(M38=0,"100%",IF(M38=1,"80%",IF(M38=2,"60%",IF(M38=3,"40%"))))</f>
        <v>100%</v>
      </c>
      <c r="N10" s="20" t="str">
        <f t="shared" ref="N10:T10" si="4">IF(N38=0,"100%",IF(N38=1,"80%",IF(N38=2,"60%",IF(N38=3,"40%"))))</f>
        <v>100%</v>
      </c>
      <c r="O10" s="20" t="str">
        <f t="shared" si="4"/>
        <v>100%</v>
      </c>
      <c r="P10" s="20" t="str">
        <f t="shared" si="4"/>
        <v>100%</v>
      </c>
      <c r="Q10" s="20" t="str">
        <f t="shared" si="4"/>
        <v>100%</v>
      </c>
      <c r="R10" s="20" t="str">
        <f t="shared" si="4"/>
        <v>100%</v>
      </c>
      <c r="S10" s="20" t="str">
        <f t="shared" si="4"/>
        <v>100%</v>
      </c>
      <c r="T10" s="20" t="str">
        <f t="shared" si="4"/>
        <v>100%</v>
      </c>
    </row>
    <row r="11" spans="1:20" x14ac:dyDescent="0.5">
      <c r="A11" s="15">
        <v>9</v>
      </c>
      <c r="B11" s="15" t="s">
        <v>36</v>
      </c>
      <c r="C11" s="41">
        <v>0.05</v>
      </c>
      <c r="D11" s="42" t="s">
        <v>37</v>
      </c>
      <c r="E11" s="18">
        <v>0</v>
      </c>
      <c r="F11" s="18">
        <v>0</v>
      </c>
      <c r="G11" s="18">
        <v>0</v>
      </c>
      <c r="H11" s="19">
        <v>0</v>
      </c>
      <c r="I11" s="20">
        <v>1</v>
      </c>
      <c r="J11" s="21">
        <v>1</v>
      </c>
      <c r="K11" s="21">
        <v>1</v>
      </c>
      <c r="L11" s="22">
        <v>1</v>
      </c>
      <c r="M11" s="22">
        <v>1</v>
      </c>
      <c r="N11" s="22">
        <v>1</v>
      </c>
      <c r="O11" s="22">
        <v>0</v>
      </c>
      <c r="P11" s="22">
        <v>0</v>
      </c>
      <c r="Q11" s="22">
        <v>0</v>
      </c>
      <c r="R11" s="22">
        <v>0</v>
      </c>
      <c r="S11" s="22">
        <v>0</v>
      </c>
      <c r="T11" s="22">
        <v>0</v>
      </c>
    </row>
    <row r="12" spans="1:20" x14ac:dyDescent="0.5">
      <c r="A12" s="15">
        <v>10</v>
      </c>
      <c r="B12" s="15" t="s">
        <v>38</v>
      </c>
      <c r="C12" s="41">
        <v>0.1</v>
      </c>
      <c r="D12" s="42" t="s">
        <v>39</v>
      </c>
      <c r="E12" s="18">
        <v>1</v>
      </c>
      <c r="F12" s="18">
        <v>1</v>
      </c>
      <c r="G12" s="18">
        <v>1</v>
      </c>
      <c r="H12" s="19">
        <v>1</v>
      </c>
      <c r="I12" s="20">
        <v>1</v>
      </c>
      <c r="J12" s="21">
        <f>$J$37</f>
        <v>1</v>
      </c>
      <c r="K12" s="21">
        <f>$K$37</f>
        <v>0.98461538461538467</v>
      </c>
      <c r="L12" s="22">
        <f>$L$37</f>
        <v>1</v>
      </c>
      <c r="M12" s="22">
        <f>$M$37</f>
        <v>1</v>
      </c>
      <c r="N12" s="22">
        <f>$N$37</f>
        <v>1</v>
      </c>
      <c r="O12" s="22">
        <v>0</v>
      </c>
      <c r="P12" s="22">
        <v>0</v>
      </c>
      <c r="Q12" s="22">
        <v>0</v>
      </c>
      <c r="R12" s="22">
        <v>0</v>
      </c>
      <c r="S12" s="22">
        <f>$S$37</f>
        <v>1</v>
      </c>
      <c r="T12" s="22">
        <f>$T$37</f>
        <v>0.8</v>
      </c>
    </row>
    <row r="13" spans="1:20" x14ac:dyDescent="0.5">
      <c r="A13" s="15"/>
      <c r="B13" s="15"/>
      <c r="C13" s="43"/>
      <c r="D13" s="44" t="s">
        <v>40</v>
      </c>
      <c r="E13" s="45">
        <f>SUMPRODUCT($C$3:$C$12,E3:E12)</f>
        <v>0.84636539007718758</v>
      </c>
      <c r="F13" s="45">
        <f t="shared" ref="F13:S13" si="5">SUMPRODUCT($C$3:$C$12,F3:F12)</f>
        <v>0.42945206786879064</v>
      </c>
      <c r="G13" s="45">
        <f t="shared" si="5"/>
        <v>0.85</v>
      </c>
      <c r="H13" s="45">
        <f t="shared" si="5"/>
        <v>0.84489614380409928</v>
      </c>
      <c r="I13" s="46">
        <f t="shared" si="5"/>
        <v>0.8638660095340166</v>
      </c>
      <c r="J13" s="47">
        <f t="shared" si="5"/>
        <v>0.8814642857142857</v>
      </c>
      <c r="K13" s="48">
        <f t="shared" si="5"/>
        <v>0.72769749075173618</v>
      </c>
      <c r="L13" s="45">
        <f t="shared" si="5"/>
        <v>0.82348998041936494</v>
      </c>
      <c r="M13" s="45">
        <f t="shared" si="5"/>
        <v>0.77172685185185197</v>
      </c>
      <c r="N13" s="45">
        <f t="shared" si="5"/>
        <v>0.84589371980676331</v>
      </c>
      <c r="O13" s="45">
        <f t="shared" si="5"/>
        <v>0.45216231942215096</v>
      </c>
      <c r="P13" s="45">
        <f t="shared" si="5"/>
        <v>0.38820863858363869</v>
      </c>
      <c r="Q13" s="45">
        <f t="shared" si="5"/>
        <v>0.3902500000000001</v>
      </c>
      <c r="R13" s="45">
        <f t="shared" si="5"/>
        <v>0.4302584745762712</v>
      </c>
      <c r="S13" s="45">
        <f t="shared" si="5"/>
        <v>0.33233333333333337</v>
      </c>
      <c r="T13" s="45">
        <f>SUMPRODUCT($C$3:$C$12,T3:T12)</f>
        <v>0.56013839691189826</v>
      </c>
    </row>
    <row r="14" spans="1:20" x14ac:dyDescent="0.5">
      <c r="A14" s="49"/>
      <c r="B14" s="49"/>
      <c r="C14" s="49"/>
      <c r="D14" s="49"/>
    </row>
    <row r="15" spans="1:20" x14ac:dyDescent="0.5">
      <c r="A15" s="49"/>
      <c r="B15" s="49"/>
      <c r="C15" s="49"/>
      <c r="D15" s="49"/>
    </row>
    <row r="16" spans="1:20" x14ac:dyDescent="0.5">
      <c r="A16" s="49"/>
      <c r="B16" s="53" t="s">
        <v>1</v>
      </c>
      <c r="C16" s="53" t="s">
        <v>2</v>
      </c>
      <c r="D16" s="53" t="s">
        <v>3</v>
      </c>
      <c r="E16" s="54" t="s">
        <v>41</v>
      </c>
      <c r="F16" s="55" t="s">
        <v>42</v>
      </c>
      <c r="G16" s="56" t="s">
        <v>43</v>
      </c>
      <c r="H16" s="7" t="s">
        <v>44</v>
      </c>
      <c r="I16" s="9" t="s">
        <v>45</v>
      </c>
      <c r="J16" s="10" t="s">
        <v>9</v>
      </c>
      <c r="K16" s="57" t="s">
        <v>10</v>
      </c>
      <c r="L16" s="57" t="s">
        <v>11</v>
      </c>
      <c r="M16" s="11" t="s">
        <v>46</v>
      </c>
      <c r="N16" s="14" t="s">
        <v>13</v>
      </c>
      <c r="O16" s="14" t="s">
        <v>14</v>
      </c>
      <c r="P16" s="14" t="s">
        <v>15</v>
      </c>
      <c r="Q16" s="14" t="s">
        <v>16</v>
      </c>
      <c r="R16" s="14" t="s">
        <v>17</v>
      </c>
      <c r="S16" s="14" t="s">
        <v>18</v>
      </c>
      <c r="T16" s="14" t="s">
        <v>19</v>
      </c>
    </row>
    <row r="17" spans="1:21" x14ac:dyDescent="0.5">
      <c r="A17" s="49"/>
      <c r="B17" s="58" t="s">
        <v>47</v>
      </c>
      <c r="C17" s="59">
        <v>0.2</v>
      </c>
      <c r="D17" s="60"/>
      <c r="E17" s="61">
        <f>'[1]FQA observations Report'!$N$5</f>
        <v>72</v>
      </c>
      <c r="F17" s="61">
        <v>1341</v>
      </c>
      <c r="G17" s="62">
        <v>14</v>
      </c>
      <c r="H17" s="61">
        <f>'[2]FQA observations Report'!$N$5</f>
        <v>19</v>
      </c>
      <c r="I17" s="62">
        <f>'[3]FQA observations Report'!$N$5</f>
        <v>122</v>
      </c>
      <c r="J17" s="61">
        <f>'[4]FQA observations Report'!$N$5</f>
        <v>0</v>
      </c>
      <c r="K17" s="63">
        <f>'[5]FQA observations Report'!$O$5</f>
        <v>3</v>
      </c>
      <c r="L17" s="63">
        <f>'[6]FQA observations Report'!$N$5</f>
        <v>41</v>
      </c>
      <c r="M17" s="63">
        <f>'[7]FQA observations Report'!$N$5</f>
        <v>5</v>
      </c>
      <c r="N17" s="63">
        <f>'[8]FQA observations Report'!$N$5</f>
        <v>15</v>
      </c>
      <c r="O17" s="63">
        <f>'[9]FQA observations Report'!$N$5</f>
        <v>0</v>
      </c>
      <c r="P17" s="63">
        <f>'[10]FQA observations Report'!$N$5</f>
        <v>0</v>
      </c>
      <c r="Q17" s="63">
        <f>'[11]FQA observations Report'!$N$5</f>
        <v>0</v>
      </c>
      <c r="R17" s="63">
        <f>'[12]FQA observations Report'!$N$5</f>
        <v>0</v>
      </c>
      <c r="S17" s="63">
        <f>'[13]FQA observations Report'!$N$5</f>
        <v>3</v>
      </c>
      <c r="T17" s="63">
        <f>'[14]FQA observations Report'!$M$5</f>
        <v>4</v>
      </c>
    </row>
    <row r="18" spans="1:21" x14ac:dyDescent="0.5">
      <c r="A18" s="49"/>
      <c r="B18" s="58" t="s">
        <v>48</v>
      </c>
      <c r="C18" s="60"/>
      <c r="D18" s="60"/>
      <c r="E18" s="61">
        <f>'[1]FQA observations Report'!$O$5</f>
        <v>72</v>
      </c>
      <c r="F18" s="61">
        <v>300</v>
      </c>
      <c r="G18" s="62">
        <v>14</v>
      </c>
      <c r="H18" s="61">
        <f>'[2]FQA observations Report'!$O$5</f>
        <v>19</v>
      </c>
      <c r="I18" s="62">
        <f>'[3]FQA observations Report'!$O$5</f>
        <v>122</v>
      </c>
      <c r="J18" s="61">
        <f>'[4]FQA observations Report'!$O$5</f>
        <v>0</v>
      </c>
      <c r="K18" s="63">
        <f>'[5]FQA observations Report'!$P$5</f>
        <v>1</v>
      </c>
      <c r="L18" s="63">
        <f>'[6]FQA observations Report'!$O$5</f>
        <v>39</v>
      </c>
      <c r="M18" s="63">
        <f>'[7]FQA observations Report'!$O$5</f>
        <v>5</v>
      </c>
      <c r="N18" s="63">
        <f>'[8]FQA observations Report'!$O$5</f>
        <v>15</v>
      </c>
      <c r="O18" s="63">
        <f>'[9]FQA observations Report'!$O$5</f>
        <v>0</v>
      </c>
      <c r="P18" s="63">
        <f>'[10]FQA observations Report'!$O$5</f>
        <v>0</v>
      </c>
      <c r="Q18" s="63">
        <f>'[11]FQA observations Report'!$O$5</f>
        <v>0</v>
      </c>
      <c r="R18" s="63">
        <f>'[12]FQA observations Report'!$O$5</f>
        <v>0</v>
      </c>
      <c r="S18" s="63">
        <f>'[13]FQA observations Report'!$O$5</f>
        <v>2</v>
      </c>
      <c r="T18" s="63">
        <f>'[14]FQA observations Report'!$N$5</f>
        <v>4</v>
      </c>
    </row>
    <row r="19" spans="1:21" x14ac:dyDescent="0.5">
      <c r="A19" s="49"/>
      <c r="B19" s="64" t="s">
        <v>49</v>
      </c>
      <c r="C19" s="59">
        <v>0.8</v>
      </c>
      <c r="D19" s="60"/>
      <c r="E19" s="61">
        <f>'[1]FQA observations Report'!$N$4</f>
        <v>110</v>
      </c>
      <c r="F19" s="61">
        <v>22</v>
      </c>
      <c r="G19" s="62">
        <v>40</v>
      </c>
      <c r="H19" s="61">
        <f>'[2]FQA observations Report'!$N$4</f>
        <v>50</v>
      </c>
      <c r="I19" s="62">
        <f>'[3]FQA observations Report'!$N$4</f>
        <v>182</v>
      </c>
      <c r="J19" s="61">
        <f>'[4]FQA observations Report'!$N$4</f>
        <v>25</v>
      </c>
      <c r="K19" s="63">
        <f>'[5]FQA observations Report'!$O$4</f>
        <v>270</v>
      </c>
      <c r="L19" s="63">
        <f>'[6]FQA observations Report'!$N$4</f>
        <v>163</v>
      </c>
      <c r="M19" s="63">
        <f>'[7]FQA observations Report'!$N$4</f>
        <v>15</v>
      </c>
      <c r="N19" s="63">
        <f>'[8]FQA observations Report'!$N$4</f>
        <v>33</v>
      </c>
      <c r="O19" s="63">
        <f>'[9]FQA observations Report'!$M$4</f>
        <v>4</v>
      </c>
      <c r="P19" s="63">
        <f>'[10]FQA observations Report'!$M$4</f>
        <v>13</v>
      </c>
      <c r="Q19" s="63">
        <f>'[11]FQA observations Report'!$N$4</f>
        <v>6</v>
      </c>
      <c r="R19" s="63">
        <f>'[12]FQA observations Report'!$M$4</f>
        <v>8</v>
      </c>
      <c r="S19" s="63">
        <f>'[13]FQA observations Report'!$N$4</f>
        <v>7</v>
      </c>
      <c r="T19" s="63">
        <f>'[14]FQA observations Report'!$M$4</f>
        <v>15</v>
      </c>
    </row>
    <row r="20" spans="1:21" x14ac:dyDescent="0.5">
      <c r="A20" s="49"/>
      <c r="B20" s="64" t="s">
        <v>50</v>
      </c>
      <c r="C20" s="60"/>
      <c r="D20" s="60"/>
      <c r="E20" s="61">
        <f>'[1]FQA observations Report'!$O$4</f>
        <v>108</v>
      </c>
      <c r="F20" s="61">
        <v>22</v>
      </c>
      <c r="G20" s="62">
        <v>40</v>
      </c>
      <c r="H20" s="61">
        <f>'[2]FQA observations Report'!$O$4</f>
        <v>48</v>
      </c>
      <c r="I20" s="62">
        <f>'[3]FQA observations Report'!$O$4</f>
        <v>178</v>
      </c>
      <c r="J20" s="61">
        <f>'[4]FQA observations Report'!$O$4</f>
        <v>24</v>
      </c>
      <c r="K20" s="63">
        <f>'[5]FQA observations Report'!$P$4</f>
        <v>239</v>
      </c>
      <c r="L20" s="63">
        <f>'[6]FQA observations Report'!$O$4</f>
        <v>152</v>
      </c>
      <c r="M20" s="63">
        <f>'[7]FQA observations Report'!$O$4</f>
        <v>14</v>
      </c>
      <c r="N20" s="63">
        <f>'[8]FQA observations Report'!$O$4</f>
        <v>33</v>
      </c>
      <c r="O20" s="63">
        <f>'[9]FQA observations Report'!$N$4</f>
        <v>3</v>
      </c>
      <c r="P20" s="63">
        <f>'[10]FQA observations Report'!$N$4</f>
        <v>11</v>
      </c>
      <c r="Q20" s="63">
        <f>'[11]FQA observations Report'!$O$4</f>
        <v>3</v>
      </c>
      <c r="R20" s="63">
        <f>'[12]FQA observations Report'!$N$4</f>
        <v>6</v>
      </c>
      <c r="S20" s="63">
        <f>'[13]FQA observations Report'!$O$4</f>
        <v>0</v>
      </c>
      <c r="T20" s="63">
        <f>'[14]FQA observations Report'!$N$4</f>
        <v>14</v>
      </c>
    </row>
    <row r="21" spans="1:21" x14ac:dyDescent="0.5">
      <c r="A21" s="49"/>
      <c r="B21" s="58" t="s">
        <v>51</v>
      </c>
      <c r="C21" s="60"/>
      <c r="D21" s="60"/>
      <c r="E21" s="61">
        <f>'[1]FQA observations Report'!$N$3</f>
        <v>32</v>
      </c>
      <c r="F21" s="61">
        <v>2158</v>
      </c>
      <c r="G21" s="62">
        <v>2</v>
      </c>
      <c r="H21" s="61">
        <f>'[2]FQA observations Report'!$N$3</f>
        <v>26</v>
      </c>
      <c r="I21" s="62">
        <f>'[3]FQA observations Report'!$N$3</f>
        <v>31</v>
      </c>
      <c r="J21" s="61">
        <f>'[4]FQA observations Report'!$N$3</f>
        <v>7</v>
      </c>
      <c r="K21" s="63">
        <f>'[5]FQA observations Report'!$O$3</f>
        <v>9</v>
      </c>
      <c r="L21" s="63">
        <f>'[6]FQA observations Report'!$N$3</f>
        <v>26</v>
      </c>
      <c r="M21" s="63">
        <f>'[7]FQA observations Report'!$N$3</f>
        <v>0</v>
      </c>
      <c r="N21" s="63">
        <f>'[8]FQA observations Report'!$N$3</f>
        <v>0</v>
      </c>
      <c r="O21" s="63">
        <f>'[9]FQA observations Report'!$M$3</f>
        <v>1</v>
      </c>
      <c r="P21" s="63">
        <f>'[10]FQA observations Report'!$M$3</f>
        <v>1</v>
      </c>
      <c r="Q21" s="63">
        <f>'[11]FQA observations Report'!$N$3</f>
        <v>0</v>
      </c>
      <c r="R21" s="63">
        <f>'[12]FQA observations Report'!$N$3</f>
        <v>0</v>
      </c>
      <c r="S21" s="63">
        <f>'[13]FQA observations Report'!$N$3</f>
        <v>1</v>
      </c>
      <c r="T21" s="63">
        <f>'[14]FQA observations Report'!$N$3</f>
        <v>0</v>
      </c>
    </row>
    <row r="22" spans="1:21" x14ac:dyDescent="0.5">
      <c r="A22" s="49"/>
      <c r="B22" s="65" t="s">
        <v>52</v>
      </c>
      <c r="C22" s="66"/>
      <c r="D22" s="66"/>
      <c r="E22" s="67">
        <f>'[1]FQA observations Report'!$O$3</f>
        <v>32</v>
      </c>
      <c r="F22" s="67">
        <v>520</v>
      </c>
      <c r="G22" s="68">
        <v>2</v>
      </c>
      <c r="H22" s="67">
        <f>'[2]FQA observations Report'!$O$3</f>
        <v>26</v>
      </c>
      <c r="I22" s="68">
        <f>'[3]FQA observations Report'!$O$3</f>
        <v>28</v>
      </c>
      <c r="J22" s="67">
        <f>'[4]FQA observations Report'!$O$3</f>
        <v>6</v>
      </c>
      <c r="K22" s="69">
        <f>'[5]FQA observations Report'!$P$3</f>
        <v>5</v>
      </c>
      <c r="L22" s="63">
        <v>22</v>
      </c>
      <c r="M22" s="69">
        <f>'[7]FQA observations Report'!$O$3</f>
        <v>0</v>
      </c>
      <c r="N22" s="69">
        <f>'[8]FQA observations Report'!$O$3</f>
        <v>0</v>
      </c>
      <c r="O22" s="69">
        <v>1</v>
      </c>
      <c r="P22" s="69">
        <f>'[10]FQA observations Report'!$N$3</f>
        <v>0</v>
      </c>
      <c r="Q22" s="69">
        <f>'[11]FQA observations Report'!$O$3</f>
        <v>0</v>
      </c>
      <c r="R22" s="69">
        <f>'[12]FQA observations Report'!$O$3</f>
        <v>0</v>
      </c>
      <c r="S22" s="69">
        <f>'[13]FQA observations Report'!$O$3</f>
        <v>0</v>
      </c>
      <c r="T22" s="69">
        <f>'[14]FQA observations Report'!$O$3</f>
        <v>0</v>
      </c>
    </row>
    <row r="23" spans="1:21" x14ac:dyDescent="0.5">
      <c r="A23" s="49"/>
      <c r="B23" s="70" t="s">
        <v>53</v>
      </c>
      <c r="C23" s="71"/>
      <c r="D23" s="72"/>
      <c r="E23" s="73">
        <f>C19*AVERAGE((E20/E19),(E22/E21))+C17*(E18/E17)</f>
        <v>0.9927272727272729</v>
      </c>
      <c r="F23" s="73">
        <f>C19*AVERAGE((F20/F19),(F22/F21))+C17*(F18/F17)</f>
        <v>0.5411282714751624</v>
      </c>
      <c r="G23" s="74">
        <f>C19*AVERAGE((G20/G19),(G22/G21))+C17*(G18/G17)</f>
        <v>1</v>
      </c>
      <c r="H23" s="75">
        <f>C19*AVERAGE((H20/H19),(H22/H21))+C17*(H18/H17)</f>
        <v>0.98399999999999999</v>
      </c>
      <c r="I23" s="74">
        <f>C19*AVERAGE((I20/I19),(I22/I21))+C17*(I18/I17)</f>
        <v>0.9524991137894363</v>
      </c>
      <c r="J23" s="73">
        <f>C19*AVERAGE((J20/J19),(J22/J21))+C17</f>
        <v>0.92685714285714282</v>
      </c>
      <c r="K23" s="76">
        <f>C19*AVERAGE((K20/K19),(K22/K21))+C17*(K18/K17)</f>
        <v>0.64296296296296296</v>
      </c>
      <c r="L23" s="77">
        <f>C19*AVERAGE((L20/L19),(L22/L21))+C17*(L18/L17)</f>
        <v>0.90171157586988815</v>
      </c>
      <c r="M23" s="77">
        <f>C19*AVERAGE((M20/M19))+C17*(M18/M17)</f>
        <v>0.94666666666666677</v>
      </c>
      <c r="N23" s="73">
        <f>C19*AVERAGE((N20/N19))+C17*(N17/N18)</f>
        <v>1</v>
      </c>
      <c r="O23" s="77">
        <f>C19*AVERAGE((O22/O21),(O20/O19))+C17</f>
        <v>0.90000000000000013</v>
      </c>
      <c r="P23" s="77">
        <f>C19*AVERAGE((P20/P19),(P22/P21))+C17</f>
        <v>0.53846153846153855</v>
      </c>
      <c r="Q23" s="73">
        <f>C19*AVERAGE((Q20/Q19))+C17</f>
        <v>0.60000000000000009</v>
      </c>
      <c r="R23" s="73">
        <f>C19*AVERAGE((R20/R19))+C17</f>
        <v>0.8</v>
      </c>
      <c r="S23" s="73">
        <f>C19*AVERAGE((S20/S19),(S22/S21))+C17*(S18/S17)</f>
        <v>0.13333333333333333</v>
      </c>
      <c r="T23" s="73">
        <f>C19*AVERAGE((T20/T19))+C17*(T18/T17)</f>
        <v>0.94666666666666677</v>
      </c>
    </row>
    <row r="24" spans="1:21" x14ac:dyDescent="0.5">
      <c r="A24" s="49"/>
      <c r="B24" s="78" t="s">
        <v>54</v>
      </c>
      <c r="C24" s="79"/>
      <c r="D24" s="79"/>
      <c r="E24" s="80">
        <f>'[1]RFI Solar Projects'!$D$102</f>
        <v>1080.4623328206244</v>
      </c>
      <c r="F24" s="52" t="s">
        <v>55</v>
      </c>
      <c r="G24" s="81">
        <f>'[15]RFI Wind Sagapara'!$D$1</f>
        <v>802</v>
      </c>
      <c r="H24" s="80">
        <f>'[2]RFI Solar Projects'!$D$113</f>
        <v>1775.865</v>
      </c>
      <c r="I24" s="82">
        <f>'[3]RFI Solar Projects New (52.5MW)'!$D$108</f>
        <v>785.5</v>
      </c>
      <c r="J24" s="80">
        <f>'[4]RFI Solar Projects'!$D$107</f>
        <v>1053</v>
      </c>
      <c r="K24" s="83">
        <f>'[5]RFI Wind '!$F$1</f>
        <v>3200</v>
      </c>
      <c r="L24" s="83">
        <f>'[6]RFI Solar Projects new'!$D$137</f>
        <v>1716</v>
      </c>
      <c r="M24" s="84">
        <f>'[7]RFI Solar Projects BESS'!$D$128</f>
        <v>410.65999999999997</v>
      </c>
      <c r="N24" s="84">
        <f>'[8]RFI Solar Projects'!$D$108</f>
        <v>678.38333333333333</v>
      </c>
      <c r="O24" s="84">
        <f>'[9]RFI Solar Projects'!$D$61</f>
        <v>124.6</v>
      </c>
      <c r="P24" s="83">
        <f>'[10]RFI Solar Projects'!$D$62</f>
        <v>126</v>
      </c>
      <c r="Q24" s="83">
        <f>'[11]RFI Solar Projects'!$D$62</f>
        <v>128</v>
      </c>
      <c r="R24" s="83">
        <f>'[12]RFI Solar Projects'!$D$62</f>
        <v>118</v>
      </c>
      <c r="S24" s="84">
        <f>'[13]RFI Solar Projects'!$D$64</f>
        <v>144.4</v>
      </c>
      <c r="T24" s="84">
        <f>'[14]RFI Solar Projects'!$D$58</f>
        <v>192.67499999999998</v>
      </c>
      <c r="U24" s="85"/>
    </row>
    <row r="25" spans="1:21" x14ac:dyDescent="0.5">
      <c r="A25" s="49"/>
      <c r="B25" s="86" t="s">
        <v>56</v>
      </c>
      <c r="C25" s="87"/>
      <c r="D25" s="87"/>
      <c r="E25" s="88">
        <f>'[1]RFI Solar Projects'!$G$102</f>
        <v>1072</v>
      </c>
      <c r="F25" s="89" t="s">
        <v>55</v>
      </c>
      <c r="G25" s="90">
        <v>802</v>
      </c>
      <c r="H25" s="91">
        <f>'[2]RFI Solar Projects'!$G$113</f>
        <v>1768.2833333333333</v>
      </c>
      <c r="I25" s="92">
        <v>642</v>
      </c>
      <c r="J25" s="91">
        <f>'[4]RFI Solar Projects'!$G$107</f>
        <v>803.25</v>
      </c>
      <c r="K25" s="93">
        <f>'[5]RFI Wind '!$I$1</f>
        <v>1472</v>
      </c>
      <c r="L25" s="94">
        <f>'[6]RFI Solar Projects new'!$G$137</f>
        <v>987.33571428571429</v>
      </c>
      <c r="M25" s="94">
        <f>'[7]RFI Solar Projects BESS'!$G$128</f>
        <v>69</v>
      </c>
      <c r="N25" s="95">
        <f>'[8]RFI Solar Projects'!$G$108</f>
        <v>151</v>
      </c>
      <c r="O25" s="95">
        <f>'[9]RFI Solar Projects'!$G$61</f>
        <v>17</v>
      </c>
      <c r="P25" s="95">
        <f>'[10]RFI Solar Projects'!$G$62</f>
        <v>34</v>
      </c>
      <c r="Q25" s="95">
        <f>'[11]RFI Solar Projects'!$G$62</f>
        <v>26</v>
      </c>
      <c r="R25" s="94">
        <f>'[12]RFI Solar Projects'!$G$62</f>
        <v>18</v>
      </c>
      <c r="S25" s="95">
        <f>'[13]RFI Solar Projects'!$G$64</f>
        <v>0</v>
      </c>
      <c r="T25" s="95">
        <f>'[14]RFI Solar Projects'!$G$58</f>
        <v>42</v>
      </c>
      <c r="U25" s="85"/>
    </row>
    <row r="26" spans="1:21" s="103" customFormat="1" x14ac:dyDescent="0.5">
      <c r="A26" s="96"/>
      <c r="B26" s="97" t="s">
        <v>57</v>
      </c>
      <c r="C26" s="98"/>
      <c r="D26" s="98"/>
      <c r="E26" s="99">
        <v>886</v>
      </c>
      <c r="F26" s="100"/>
      <c r="G26" s="99">
        <v>487</v>
      </c>
      <c r="H26" s="99">
        <v>1423</v>
      </c>
      <c r="I26" s="90">
        <v>727</v>
      </c>
      <c r="J26" s="90">
        <v>721</v>
      </c>
      <c r="K26" s="93">
        <v>1749</v>
      </c>
      <c r="L26" s="95">
        <v>1317</v>
      </c>
      <c r="M26" s="95">
        <v>162</v>
      </c>
      <c r="N26" s="95">
        <v>207</v>
      </c>
      <c r="O26" s="101"/>
      <c r="P26" s="101"/>
      <c r="Q26" s="101"/>
      <c r="R26" s="101"/>
      <c r="S26" s="101"/>
      <c r="T26" s="101"/>
      <c r="U26" s="102"/>
    </row>
    <row r="27" spans="1:21" x14ac:dyDescent="0.5">
      <c r="A27" s="49"/>
      <c r="B27" s="86"/>
      <c r="C27" s="87"/>
      <c r="D27" s="87"/>
      <c r="E27" s="89"/>
      <c r="F27" s="88"/>
      <c r="G27" s="104"/>
      <c r="H27" s="89"/>
      <c r="I27" s="105"/>
      <c r="J27" s="89"/>
      <c r="K27" s="106"/>
      <c r="L27" s="107"/>
      <c r="M27" s="107"/>
      <c r="N27" s="85"/>
      <c r="O27" s="85"/>
      <c r="P27" s="85"/>
      <c r="Q27" s="85"/>
      <c r="R27" s="85"/>
      <c r="S27" s="85"/>
      <c r="T27" s="85"/>
      <c r="U27" s="85"/>
    </row>
    <row r="28" spans="1:21" s="115" customFormat="1" x14ac:dyDescent="0.5">
      <c r="A28" s="108"/>
      <c r="B28" s="109" t="s">
        <v>58</v>
      </c>
      <c r="C28" s="110"/>
      <c r="D28" s="110"/>
      <c r="E28" s="100">
        <f>E25/E24</f>
        <v>0.99216785947684738</v>
      </c>
      <c r="F28" s="100">
        <v>0</v>
      </c>
      <c r="G28" s="100">
        <f>G25/G24</f>
        <v>1</v>
      </c>
      <c r="H28" s="111">
        <f>H25/H24</f>
        <v>0.99573071902049615</v>
      </c>
      <c r="I28" s="111">
        <f>I25/I26</f>
        <v>0.88308115543328747</v>
      </c>
      <c r="J28" s="100">
        <v>1</v>
      </c>
      <c r="K28" s="112">
        <f>K25/K26</f>
        <v>0.84162378502001145</v>
      </c>
      <c r="L28" s="112">
        <f>L25/L26</f>
        <v>0.74968543225946416</v>
      </c>
      <c r="M28" s="112">
        <f>M25/M26</f>
        <v>0.42592592592592593</v>
      </c>
      <c r="N28" s="112">
        <f>N25/N26</f>
        <v>0.72946859903381644</v>
      </c>
      <c r="O28" s="113">
        <f>O25/O24</f>
        <v>0.13643659711075443</v>
      </c>
      <c r="P28" s="114">
        <f>P25/P24</f>
        <v>0.26984126984126983</v>
      </c>
      <c r="Q28" s="114">
        <f>Q25/Q24</f>
        <v>0.203125</v>
      </c>
      <c r="R28" s="114">
        <f t="shared" ref="R28:T28" si="6">R25/R24</f>
        <v>0.15254237288135594</v>
      </c>
      <c r="S28" s="114">
        <f t="shared" si="6"/>
        <v>0</v>
      </c>
      <c r="T28" s="114">
        <f t="shared" si="6"/>
        <v>0.21798365122615806</v>
      </c>
      <c r="U28" s="32"/>
    </row>
    <row r="29" spans="1:21" ht="26" x14ac:dyDescent="0.6">
      <c r="A29" s="49"/>
      <c r="B29" s="116" t="s">
        <v>59</v>
      </c>
      <c r="C29" s="117"/>
      <c r="D29" s="117"/>
      <c r="E29" s="118">
        <v>0</v>
      </c>
      <c r="F29" s="118">
        <v>0</v>
      </c>
      <c r="G29" s="118">
        <v>0</v>
      </c>
      <c r="H29" s="119">
        <v>0</v>
      </c>
      <c r="I29" s="120">
        <v>14</v>
      </c>
      <c r="J29" s="121">
        <v>19</v>
      </c>
      <c r="K29" s="119">
        <v>58</v>
      </c>
      <c r="L29" s="122">
        <v>20</v>
      </c>
      <c r="M29" s="123">
        <v>7</v>
      </c>
      <c r="N29" s="124">
        <v>6</v>
      </c>
      <c r="O29" s="124">
        <v>0</v>
      </c>
      <c r="P29" s="119">
        <v>0</v>
      </c>
      <c r="Q29" s="119">
        <v>0</v>
      </c>
      <c r="R29" s="119">
        <v>0</v>
      </c>
      <c r="S29" s="119">
        <v>0</v>
      </c>
      <c r="T29" s="119">
        <v>0</v>
      </c>
      <c r="U29" s="125">
        <f>SUM(E29:T29)</f>
        <v>124</v>
      </c>
    </row>
    <row r="30" spans="1:21" x14ac:dyDescent="0.5">
      <c r="A30" s="49"/>
      <c r="B30" s="116" t="s">
        <v>60</v>
      </c>
      <c r="C30" s="117"/>
      <c r="D30" s="117"/>
      <c r="E30" s="118">
        <v>0</v>
      </c>
      <c r="F30" s="118">
        <v>0</v>
      </c>
      <c r="G30" s="118">
        <v>0</v>
      </c>
      <c r="H30" s="126">
        <v>0</v>
      </c>
      <c r="I30" s="120">
        <v>2</v>
      </c>
      <c r="J30" s="121">
        <v>3</v>
      </c>
      <c r="K30" s="119">
        <v>4</v>
      </c>
      <c r="L30" s="122">
        <v>2</v>
      </c>
      <c r="M30" s="123">
        <v>1</v>
      </c>
      <c r="N30" s="124">
        <v>1</v>
      </c>
      <c r="O30" s="124">
        <v>0</v>
      </c>
      <c r="P30" s="119">
        <v>0</v>
      </c>
      <c r="Q30" s="119">
        <v>0</v>
      </c>
      <c r="R30" s="119">
        <v>0</v>
      </c>
      <c r="S30" s="119">
        <v>0</v>
      </c>
      <c r="T30" s="118">
        <v>0</v>
      </c>
      <c r="U30" s="85"/>
    </row>
    <row r="31" spans="1:21" s="127" customFormat="1" ht="406.5" customHeight="1" x14ac:dyDescent="0.45">
      <c r="B31" s="128" t="s">
        <v>61</v>
      </c>
      <c r="C31" s="129"/>
      <c r="D31" s="129"/>
      <c r="E31" s="130"/>
      <c r="F31" s="131"/>
      <c r="G31" s="132"/>
      <c r="H31" s="133"/>
      <c r="I31" s="134" t="s">
        <v>62</v>
      </c>
      <c r="J31" s="135" t="s">
        <v>63</v>
      </c>
      <c r="K31" s="135" t="s">
        <v>64</v>
      </c>
      <c r="L31" s="136" t="s">
        <v>65</v>
      </c>
      <c r="M31" s="136" t="s">
        <v>66</v>
      </c>
      <c r="N31" s="137" t="s">
        <v>75</v>
      </c>
      <c r="O31" s="138"/>
      <c r="P31" s="139"/>
      <c r="Q31" s="139"/>
      <c r="R31" s="139"/>
      <c r="S31" s="140"/>
      <c r="T31" s="139"/>
      <c r="U31" s="138"/>
    </row>
    <row r="32" spans="1:21" x14ac:dyDescent="0.5">
      <c r="A32" s="49"/>
      <c r="B32" s="141" t="s">
        <v>32</v>
      </c>
      <c r="C32" s="142"/>
      <c r="D32" s="142"/>
      <c r="E32" s="143">
        <v>1</v>
      </c>
      <c r="F32" s="143">
        <v>0</v>
      </c>
      <c r="G32" s="143">
        <v>2</v>
      </c>
      <c r="H32" s="143">
        <v>2</v>
      </c>
      <c r="I32" s="144">
        <v>2</v>
      </c>
      <c r="J32" s="143">
        <v>2</v>
      </c>
      <c r="K32" s="145">
        <v>6</v>
      </c>
      <c r="L32" s="145">
        <v>6</v>
      </c>
      <c r="M32" s="146">
        <v>2</v>
      </c>
      <c r="N32" s="146">
        <v>2</v>
      </c>
      <c r="O32" s="145">
        <v>0</v>
      </c>
      <c r="P32" s="145">
        <v>0</v>
      </c>
      <c r="Q32" s="145">
        <v>1</v>
      </c>
      <c r="R32" s="145">
        <v>0</v>
      </c>
      <c r="S32" s="145">
        <v>0</v>
      </c>
      <c r="T32" s="146">
        <v>0</v>
      </c>
      <c r="U32" s="85"/>
    </row>
    <row r="33" spans="1:21" x14ac:dyDescent="0.5">
      <c r="A33" s="49"/>
      <c r="B33" s="141" t="s">
        <v>67</v>
      </c>
      <c r="C33" s="142"/>
      <c r="D33" s="147" t="s">
        <v>33</v>
      </c>
      <c r="E33" s="143">
        <v>1</v>
      </c>
      <c r="F33" s="143">
        <v>9</v>
      </c>
      <c r="G33" s="143">
        <v>2</v>
      </c>
      <c r="H33" s="143">
        <v>2</v>
      </c>
      <c r="I33" s="144">
        <v>2</v>
      </c>
      <c r="J33" s="143">
        <v>2</v>
      </c>
      <c r="K33" s="145">
        <v>11</v>
      </c>
      <c r="L33" s="145">
        <v>6</v>
      </c>
      <c r="M33" s="145">
        <v>2</v>
      </c>
      <c r="N33" s="145">
        <v>2</v>
      </c>
      <c r="O33" s="145">
        <v>0</v>
      </c>
      <c r="P33" s="145">
        <v>0</v>
      </c>
      <c r="Q33" s="145">
        <v>1</v>
      </c>
      <c r="R33" s="145">
        <v>0</v>
      </c>
      <c r="S33" s="145"/>
      <c r="T33" s="145"/>
      <c r="U33" s="85"/>
    </row>
    <row r="34" spans="1:21" x14ac:dyDescent="0.5">
      <c r="A34" s="49"/>
      <c r="B34" s="141" t="s">
        <v>68</v>
      </c>
      <c r="C34" s="142"/>
      <c r="D34" s="142"/>
      <c r="E34" s="143">
        <f t="shared" ref="E34:L34" si="7">E32/E33</f>
        <v>1</v>
      </c>
      <c r="F34" s="143">
        <f t="shared" si="7"/>
        <v>0</v>
      </c>
      <c r="G34" s="143">
        <f t="shared" si="7"/>
        <v>1</v>
      </c>
      <c r="H34" s="143">
        <f t="shared" si="7"/>
        <v>1</v>
      </c>
      <c r="I34" s="143">
        <f t="shared" si="7"/>
        <v>1</v>
      </c>
      <c r="J34" s="143">
        <f t="shared" si="7"/>
        <v>1</v>
      </c>
      <c r="K34" s="145">
        <f t="shared" si="7"/>
        <v>0.54545454545454541</v>
      </c>
      <c r="L34" s="145">
        <f t="shared" si="7"/>
        <v>1</v>
      </c>
      <c r="M34" s="145">
        <f>M32/M33</f>
        <v>1</v>
      </c>
      <c r="N34" s="145">
        <f>N32/N33</f>
        <v>1</v>
      </c>
      <c r="O34" s="145">
        <v>0</v>
      </c>
      <c r="P34" s="145">
        <v>0</v>
      </c>
      <c r="Q34" s="145">
        <f t="shared" ref="Q34" si="8">Q33/Q32</f>
        <v>1</v>
      </c>
      <c r="R34" s="145">
        <v>0</v>
      </c>
      <c r="S34" s="145"/>
      <c r="T34" s="145"/>
      <c r="U34" s="85"/>
    </row>
    <row r="35" spans="1:21" x14ac:dyDescent="0.5">
      <c r="A35" s="49"/>
      <c r="B35" s="60" t="s">
        <v>69</v>
      </c>
      <c r="C35" s="60"/>
      <c r="D35" s="60"/>
      <c r="E35" s="3">
        <v>133</v>
      </c>
      <c r="F35" s="3">
        <v>100</v>
      </c>
      <c r="G35" s="3">
        <v>69</v>
      </c>
      <c r="H35" s="3">
        <v>100</v>
      </c>
      <c r="I35" s="81">
        <v>182</v>
      </c>
      <c r="J35" s="3">
        <v>230</v>
      </c>
      <c r="K35" s="83">
        <v>128</v>
      </c>
      <c r="L35" s="83">
        <f>[6]IMIR!$T$8</f>
        <v>395</v>
      </c>
      <c r="M35" s="83">
        <v>3</v>
      </c>
      <c r="N35" s="83">
        <v>18</v>
      </c>
      <c r="O35" s="83">
        <v>0</v>
      </c>
      <c r="P35" s="83">
        <v>0</v>
      </c>
      <c r="Q35" s="83">
        <v>0</v>
      </c>
      <c r="R35" s="83">
        <v>0</v>
      </c>
      <c r="S35" s="83">
        <v>4</v>
      </c>
      <c r="T35" s="83">
        <v>4</v>
      </c>
      <c r="U35" s="85"/>
    </row>
    <row r="36" spans="1:21" x14ac:dyDescent="0.5">
      <c r="A36" s="49"/>
      <c r="B36" s="60" t="s">
        <v>70</v>
      </c>
      <c r="C36" s="60"/>
      <c r="D36" s="60"/>
      <c r="E36" s="3">
        <v>133</v>
      </c>
      <c r="F36" s="3"/>
      <c r="G36" s="3">
        <v>69</v>
      </c>
      <c r="H36" s="3">
        <v>100</v>
      </c>
      <c r="I36" s="81">
        <v>182</v>
      </c>
      <c r="J36" s="3">
        <v>230</v>
      </c>
      <c r="K36" s="83">
        <v>130</v>
      </c>
      <c r="L36" s="83">
        <v>395</v>
      </c>
      <c r="M36" s="83">
        <v>3</v>
      </c>
      <c r="N36" s="83">
        <v>18</v>
      </c>
      <c r="O36" s="83">
        <v>0</v>
      </c>
      <c r="P36" s="83">
        <v>0</v>
      </c>
      <c r="Q36" s="83">
        <v>0</v>
      </c>
      <c r="R36" s="83">
        <v>0</v>
      </c>
      <c r="S36" s="83">
        <v>4</v>
      </c>
      <c r="T36" s="83">
        <v>5</v>
      </c>
      <c r="U36" s="85"/>
    </row>
    <row r="37" spans="1:21" x14ac:dyDescent="0.5">
      <c r="A37" s="49"/>
      <c r="B37" s="60" t="s">
        <v>71</v>
      </c>
      <c r="C37" s="60"/>
      <c r="D37" s="60"/>
      <c r="E37" s="3">
        <f>E35/E36</f>
        <v>1</v>
      </c>
      <c r="F37" s="3"/>
      <c r="G37" s="3">
        <f>G35/G36</f>
        <v>1</v>
      </c>
      <c r="H37" s="3">
        <v>1</v>
      </c>
      <c r="I37" s="81">
        <f t="shared" ref="I37:N37" si="9">I35/I36</f>
        <v>1</v>
      </c>
      <c r="J37" s="3">
        <f t="shared" si="9"/>
        <v>1</v>
      </c>
      <c r="K37" s="83">
        <f t="shared" si="9"/>
        <v>0.98461538461538467</v>
      </c>
      <c r="L37" s="83">
        <f t="shared" si="9"/>
        <v>1</v>
      </c>
      <c r="M37" s="83">
        <f t="shared" si="9"/>
        <v>1</v>
      </c>
      <c r="N37" s="83">
        <f t="shared" si="9"/>
        <v>1</v>
      </c>
      <c r="O37" s="83">
        <v>0</v>
      </c>
      <c r="P37" s="83">
        <v>0</v>
      </c>
      <c r="Q37" s="83">
        <v>0</v>
      </c>
      <c r="R37" s="83">
        <v>0</v>
      </c>
      <c r="S37" s="83">
        <f>S35/S36</f>
        <v>1</v>
      </c>
      <c r="T37" s="83">
        <f>T35/T36</f>
        <v>0.8</v>
      </c>
      <c r="U37" s="85"/>
    </row>
    <row r="38" spans="1:21" x14ac:dyDescent="0.5">
      <c r="A38" s="49"/>
      <c r="B38" s="148" t="s">
        <v>72</v>
      </c>
      <c r="C38" s="149"/>
      <c r="D38" s="149"/>
      <c r="E38" s="150">
        <v>0</v>
      </c>
      <c r="F38" s="150">
        <v>0</v>
      </c>
      <c r="G38" s="150">
        <v>0</v>
      </c>
      <c r="H38" s="150">
        <v>0</v>
      </c>
      <c r="I38" s="150">
        <v>0</v>
      </c>
      <c r="J38" s="150">
        <v>1</v>
      </c>
      <c r="K38" s="151">
        <v>0</v>
      </c>
      <c r="L38" s="151">
        <v>4</v>
      </c>
      <c r="M38" s="151">
        <v>0</v>
      </c>
      <c r="N38" s="151">
        <v>0</v>
      </c>
      <c r="O38" s="151">
        <v>0</v>
      </c>
      <c r="P38" s="151">
        <v>0</v>
      </c>
      <c r="Q38" s="151">
        <v>0</v>
      </c>
      <c r="R38" s="151">
        <v>0</v>
      </c>
      <c r="S38" s="151">
        <v>0</v>
      </c>
      <c r="T38" s="151">
        <v>0</v>
      </c>
      <c r="U38" s="85"/>
    </row>
    <row r="39" spans="1:21" x14ac:dyDescent="0.5">
      <c r="A39" s="49"/>
      <c r="B39" s="60"/>
      <c r="C39" s="60"/>
      <c r="D39" s="60"/>
      <c r="E39" s="152"/>
      <c r="F39" s="152"/>
      <c r="G39" s="152"/>
      <c r="H39" s="152"/>
      <c r="I39" s="153"/>
      <c r="J39" s="152"/>
      <c r="K39" s="154"/>
      <c r="L39" s="154"/>
      <c r="M39" s="154"/>
      <c r="N39" s="85"/>
      <c r="O39" s="85"/>
      <c r="P39" s="85"/>
      <c r="Q39" s="85"/>
      <c r="R39" s="85"/>
      <c r="S39" s="85"/>
      <c r="T39" s="85"/>
      <c r="U39" s="85"/>
    </row>
    <row r="40" spans="1:21" s="115" customFormat="1" x14ac:dyDescent="0.5">
      <c r="A40" s="108"/>
      <c r="B40" s="149" t="s">
        <v>73</v>
      </c>
      <c r="C40" s="149"/>
      <c r="D40" s="149"/>
      <c r="E40" s="150">
        <v>128</v>
      </c>
      <c r="F40" s="150">
        <v>80</v>
      </c>
      <c r="G40" s="150">
        <v>47</v>
      </c>
      <c r="H40" s="150">
        <v>123</v>
      </c>
      <c r="I40" s="155">
        <v>142</v>
      </c>
      <c r="J40" s="150">
        <v>108</v>
      </c>
      <c r="K40" s="151">
        <v>119</v>
      </c>
      <c r="L40" s="151">
        <v>93</v>
      </c>
      <c r="M40" s="151">
        <v>9</v>
      </c>
      <c r="N40" s="151">
        <v>32</v>
      </c>
      <c r="O40" s="151">
        <v>3</v>
      </c>
      <c r="P40" s="151">
        <v>18</v>
      </c>
      <c r="Q40" s="151">
        <v>8</v>
      </c>
      <c r="R40" s="151">
        <v>5</v>
      </c>
      <c r="S40" s="151">
        <v>2</v>
      </c>
      <c r="T40" s="151">
        <v>4</v>
      </c>
      <c r="U40" s="150">
        <f>SUM(E40:S40)</f>
        <v>917</v>
      </c>
    </row>
    <row r="41" spans="1:21" s="115" customFormat="1" x14ac:dyDescent="0.5">
      <c r="A41" s="108"/>
      <c r="B41" s="149" t="s">
        <v>74</v>
      </c>
      <c r="C41" s="149"/>
      <c r="D41" s="149"/>
      <c r="E41" s="150">
        <f>'[1]Training record summary'!$M$2</f>
        <v>1306</v>
      </c>
      <c r="F41" s="150">
        <v>1596</v>
      </c>
      <c r="G41" s="150">
        <v>532</v>
      </c>
      <c r="H41" s="150">
        <f>'[2]Training record summary'!$M$2</f>
        <v>759</v>
      </c>
      <c r="I41" s="155">
        <f>'[3]Training record summary'!$M$2</f>
        <v>1471</v>
      </c>
      <c r="J41" s="150">
        <f>'[4]Training record summary'!$M$2</f>
        <v>960</v>
      </c>
      <c r="K41" s="151">
        <f>'[5]Training record summary'!$M$1</f>
        <v>1727</v>
      </c>
      <c r="L41" s="151">
        <f>'[6]Training record summary'!$M$2</f>
        <v>799</v>
      </c>
      <c r="M41" s="151">
        <f>'[7]Training record summary'!$M$2</f>
        <v>111</v>
      </c>
      <c r="N41" s="151">
        <v>258</v>
      </c>
      <c r="O41" s="151">
        <f>'[9]Training record summary'!$M$2</f>
        <v>20</v>
      </c>
      <c r="P41" s="151">
        <f>'[10]Training record summary'!$M$2</f>
        <v>146</v>
      </c>
      <c r="Q41" s="151">
        <f>'[11]Training record summary'!$M$2</f>
        <v>72</v>
      </c>
      <c r="R41" s="151">
        <f>'[12]Training record summary'!$M$2</f>
        <v>53</v>
      </c>
      <c r="S41" s="151">
        <v>17</v>
      </c>
      <c r="T41" s="151">
        <f>'[14]Training record summary'!$M$2</f>
        <v>158</v>
      </c>
      <c r="U41" s="150">
        <f>SUM(E41:S41)</f>
        <v>9827</v>
      </c>
    </row>
    <row r="42" spans="1:21" x14ac:dyDescent="0.5">
      <c r="A42" s="49"/>
      <c r="B42" s="60"/>
      <c r="C42" s="60"/>
      <c r="D42" s="60"/>
      <c r="E42" s="52"/>
      <c r="F42" s="52"/>
      <c r="G42" s="52"/>
      <c r="H42" s="52"/>
      <c r="I42" s="156"/>
      <c r="J42" s="52"/>
      <c r="K42" s="107"/>
      <c r="L42" s="107"/>
      <c r="M42" s="107"/>
      <c r="N42" s="85"/>
      <c r="O42" s="85"/>
      <c r="P42" s="85"/>
      <c r="Q42" s="85"/>
      <c r="R42" s="85"/>
      <c r="S42" s="85"/>
      <c r="T42" s="85"/>
      <c r="U42" s="52"/>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2e1843a-5266-4f31-9c6f-6346ccd44a1b" xsi:nil="true"/>
    <lcf76f155ced4ddcb4097134ff3c332f xmlns="12f9e649-6999-464c-97bb-3ff54a06477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3ED9AFC2BBDF4C8E120F9730122CBF" ma:contentTypeVersion="10" ma:contentTypeDescription="Create a new document." ma:contentTypeScope="" ma:versionID="8d44a46c5349cc04ff9275567d2f0b98">
  <xsd:schema xmlns:xsd="http://www.w3.org/2001/XMLSchema" xmlns:xs="http://www.w3.org/2001/XMLSchema" xmlns:p="http://schemas.microsoft.com/office/2006/metadata/properties" xmlns:ns2="12f9e649-6999-464c-97bb-3ff54a06477f" xmlns:ns3="a2e1843a-5266-4f31-9c6f-6346ccd44a1b" targetNamespace="http://schemas.microsoft.com/office/2006/metadata/properties" ma:root="true" ma:fieldsID="adea604ac7ef861e99aa1700d3a71fc0" ns2:_="" ns3:_="">
    <xsd:import namespace="12f9e649-6999-464c-97bb-3ff54a06477f"/>
    <xsd:import namespace="a2e1843a-5266-4f31-9c6f-6346ccd44a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f9e649-6999-464c-97bb-3ff54a0647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58876bd-c58b-482b-a78b-dd5e69c1988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e1843a-5266-4f31-9c6f-6346ccd44a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579e775-fe7d-4a4b-b0f4-0c5d26b9f41a}" ma:internalName="TaxCatchAll" ma:showField="CatchAllData" ma:web="a2e1843a-5266-4f31-9c6f-6346ccd44a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4ADBB4-E20A-4616-B7E8-F21C788B6A1F}">
  <ds:schemaRefs>
    <ds:schemaRef ds:uri="http://schemas.microsoft.com/office/2006/metadata/properties"/>
    <ds:schemaRef ds:uri="http://schemas.microsoft.com/office/infopath/2007/PartnerControls"/>
    <ds:schemaRef ds:uri="a2e1843a-5266-4f31-9c6f-6346ccd44a1b"/>
    <ds:schemaRef ds:uri="12f9e649-6999-464c-97bb-3ff54a06477f"/>
  </ds:schemaRefs>
</ds:datastoreItem>
</file>

<file path=customXml/itemProps2.xml><?xml version="1.0" encoding="utf-8"?>
<ds:datastoreItem xmlns:ds="http://schemas.openxmlformats.org/officeDocument/2006/customXml" ds:itemID="{C6734A79-7E08-41CE-A8A5-CC6F57624571}">
  <ds:schemaRefs>
    <ds:schemaRef ds:uri="http://schemas.microsoft.com/sharepoint/v3/contenttype/forms"/>
  </ds:schemaRefs>
</ds:datastoreItem>
</file>

<file path=customXml/itemProps3.xml><?xml version="1.0" encoding="utf-8"?>
<ds:datastoreItem xmlns:ds="http://schemas.openxmlformats.org/officeDocument/2006/customXml" ds:itemID="{AE205341-95E5-4642-9E23-FD62AB7B09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f9e649-6999-464c-97bb-3ff54a06477f"/>
    <ds:schemaRef ds:uri="a2e1843a-5266-4f31-9c6f-6346ccd44a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5a4935d-8381-46d5-93cb-bf852b774b31}" enabled="0" method="" siteId="{65a4935d-8381-46d5-93cb-bf852b774b3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16-03-2026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 Kashyap [CO]</dc:creator>
  <cp:lastModifiedBy>Aswin K</cp:lastModifiedBy>
  <cp:lastPrinted>2026-07-17T07:13:19Z</cp:lastPrinted>
  <dcterms:created xsi:type="dcterms:W3CDTF">2026-03-17T12:07:53Z</dcterms:created>
  <dcterms:modified xsi:type="dcterms:W3CDTF">2026-07-17T07:13:52Z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0x010100BD3ED9AFC2BBDF4C8E120F9730122CBF</vt:lpwstr>
  </property>
  <property fmtid="{D5CDD505-2E9C-101B-9397-08002B2CF9AE}" pid="3" name="MSIP_Label_506d4b6f-0317-4b96-bd62-f6d252391bda_Enabled">
    <vt:lpwstr>true</vt:lpwstr>
  </property>
  <property fmtid="{D5CDD505-2E9C-101B-9397-08002B2CF9AE}" pid="4" name="MSIP_Label_506d4b6f-0317-4b96-bd62-f6d252391bda_SetDate">
    <vt:lpwstr>2026-07-17T07:13:40Z</vt:lpwstr>
  </property>
  <property fmtid="{D5CDD505-2E9C-101B-9397-08002B2CF9AE}" pid="5" name="MSIP_Label_506d4b6f-0317-4b96-bd62-f6d252391bda_Method">
    <vt:lpwstr>Standard</vt:lpwstr>
  </property>
  <property fmtid="{D5CDD505-2E9C-101B-9397-08002B2CF9AE}" pid="6" name="MSIP_Label_506d4b6f-0317-4b96-bd62-f6d252391bda_Name">
    <vt:lpwstr>General</vt:lpwstr>
  </property>
  <property fmtid="{D5CDD505-2E9C-101B-9397-08002B2CF9AE}" pid="7" name="MSIP_Label_506d4b6f-0317-4b96-bd62-f6d252391bda_SiteId">
    <vt:lpwstr>05b5fe2e-db2c-48e5-bfd8-778b75cb0f8e</vt:lpwstr>
  </property>
  <property fmtid="{D5CDD505-2E9C-101B-9397-08002B2CF9AE}" pid="8" name="MSIP_Label_506d4b6f-0317-4b96-bd62-f6d252391bda_ActionId">
    <vt:lpwstr>d88507a7-fc15-4eb3-b3e5-56d5bac1a3f4</vt:lpwstr>
  </property>
  <property fmtid="{D5CDD505-2E9C-101B-9397-08002B2CF9AE}" pid="9" name="MSIP_Label_506d4b6f-0317-4b96-bd62-f6d252391bda_ContentBits">
    <vt:lpwstr>0</vt:lpwstr>
  </property>
  <property fmtid="{D5CDD505-2E9C-101B-9397-08002B2CF9AE}" pid="10" name="MSIP_Label_506d4b6f-0317-4b96-bd62-f6d252391bda_Tag">
    <vt:lpwstr>10, 3, 0, 1</vt:lpwstr>
  </property>
</Properties>
</file>